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31759-2025</t>
        </is>
      </c>
      <c r="B4" s="1" t="n">
        <v>45834</v>
      </c>
      <c r="C4" s="1" t="n">
        <v>45847</v>
      </c>
      <c r="D4" t="inlineStr">
        <is>
          <t>VÄSTERBOTTENS LÄN</t>
        </is>
      </c>
      <c r="E4" t="inlineStr">
        <is>
          <t>NORSJÖ</t>
        </is>
      </c>
      <c r="G4" t="n">
        <v>18.5</v>
      </c>
      <c r="H4" t="n">
        <v>2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Gränsticka
Kolflarnlav
Mörk kolflarnlav
Nordtagging
Spillkråka
Tretåig hackspett
Vedskivlav
Vedticka</t>
        </is>
      </c>
      <c r="S4">
        <f>HYPERLINK("https://klasma.github.io/Logging_242417/artfynd/A 31759-2025 artfynd.xlsx", "A 31759-2025")</f>
        <v/>
      </c>
      <c r="T4">
        <f>HYPERLINK("https://klasma.github.io/Logging_242417/kartor/A 31759-2025 karta.png", "A 31759-2025")</f>
        <v/>
      </c>
      <c r="V4">
        <f>HYPERLINK("https://klasma.github.io/Logging_242417/klagomål/A 31759-2025 FSC-klagomål.docx", "A 31759-2025")</f>
        <v/>
      </c>
      <c r="W4">
        <f>HYPERLINK("https://klasma.github.io/Logging_242417/klagomålsmail/A 31759-2025 FSC-klagomål mail.docx", "A 31759-2025")</f>
        <v/>
      </c>
      <c r="X4">
        <f>HYPERLINK("https://klasma.github.io/Logging_242417/tillsyn/A 31759-2025 tillsynsbegäran.docx", "A 31759-2025")</f>
        <v/>
      </c>
      <c r="Y4">
        <f>HYPERLINK("https://klasma.github.io/Logging_242417/tillsynsmail/A 31759-2025 tillsynsbegäran mail.docx", "A 31759-2025")</f>
        <v/>
      </c>
      <c r="Z4">
        <f>HYPERLINK("https://klasma.github.io/Logging_242417/fåglar/A 31759-2025 prioriterade fågelarter.docx", "A 31759-2025")</f>
        <v/>
      </c>
    </row>
    <row r="5" ht="15" customHeight="1">
      <c r="A5" t="inlineStr">
        <is>
          <t>A 10026-2024</t>
        </is>
      </c>
      <c r="B5" s="1" t="n">
        <v>45363</v>
      </c>
      <c r="C5" s="1" t="n">
        <v>45847</v>
      </c>
      <c r="D5" t="inlineStr">
        <is>
          <t>VÄSTERBOTTENS LÄN</t>
        </is>
      </c>
      <c r="E5" t="inlineStr">
        <is>
          <t>NORSJÖ</t>
        </is>
      </c>
      <c r="G5" t="n">
        <v>15.1</v>
      </c>
      <c r="H5" t="n">
        <v>0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8</v>
      </c>
      <c r="R5" s="2" t="inlineStr">
        <is>
          <t>Goliatmusseron
Tallgråticka
Blå taggsvamp
Motaggsvamp
Reliktbock
Skrovlig taggsvamp
Talltaggsvamp
Skarp dropptaggsvamp</t>
        </is>
      </c>
      <c r="S5">
        <f>HYPERLINK("https://klasma.github.io/Logging_2417/artfynd/A 10026-2024 artfynd.xlsx", "A 10026-2024")</f>
        <v/>
      </c>
      <c r="T5">
        <f>HYPERLINK("https://klasma.github.io/Logging_2417/kartor/A 10026-2024 karta.png", "A 10026-2024")</f>
        <v/>
      </c>
      <c r="V5">
        <f>HYPERLINK("https://klasma.github.io/Logging_2417/klagomål/A 10026-2024 FSC-klagomål.docx", "A 10026-2024")</f>
        <v/>
      </c>
      <c r="W5">
        <f>HYPERLINK("https://klasma.github.io/Logging_2417/klagomålsmail/A 10026-2024 FSC-klagomål mail.docx", "A 10026-2024")</f>
        <v/>
      </c>
      <c r="X5">
        <f>HYPERLINK("https://klasma.github.io/Logging_2417/tillsyn/A 10026-2024 tillsynsbegäran.docx", "A 10026-2024")</f>
        <v/>
      </c>
      <c r="Y5">
        <f>HYPERLINK("https://klasma.github.io/Logging_2417/tillsynsmail/A 10026-2024 tillsynsbegäran mail.docx", "A 10026-2024")</f>
        <v/>
      </c>
    </row>
    <row r="6" ht="15" customHeight="1">
      <c r="A6" t="inlineStr">
        <is>
          <t>A 27284-2024</t>
        </is>
      </c>
      <c r="B6" s="1" t="n">
        <v>45472</v>
      </c>
      <c r="C6" s="1" t="n">
        <v>45847</v>
      </c>
      <c r="D6" t="inlineStr">
        <is>
          <t>VÄSTERBOTTENS LÄN</t>
        </is>
      </c>
      <c r="E6" t="inlineStr">
        <is>
          <t>NORSJÖ</t>
        </is>
      </c>
      <c r="G6" t="n">
        <v>4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8</v>
      </c>
      <c r="R6" s="2" t="inlineStr">
        <is>
          <t>Gammelgransskål
Garnlav
Granticka
Harticka
Järpe
Talltita
Tretåig hackspett
Vedticka</t>
        </is>
      </c>
      <c r="S6">
        <f>HYPERLINK("https://klasma.github.io/Logging_2417/artfynd/A 27284-2024 artfynd.xlsx", "A 27284-2024")</f>
        <v/>
      </c>
      <c r="T6">
        <f>HYPERLINK("https://klasma.github.io/Logging_2417/kartor/A 27284-2024 karta.png", "A 27284-2024")</f>
        <v/>
      </c>
      <c r="V6">
        <f>HYPERLINK("https://klasma.github.io/Logging_2417/klagomål/A 27284-2024 FSC-klagomål.docx", "A 27284-2024")</f>
        <v/>
      </c>
      <c r="W6">
        <f>HYPERLINK("https://klasma.github.io/Logging_2417/klagomålsmail/A 27284-2024 FSC-klagomål mail.docx", "A 27284-2024")</f>
        <v/>
      </c>
      <c r="X6">
        <f>HYPERLINK("https://klasma.github.io/Logging_2417/tillsyn/A 27284-2024 tillsynsbegäran.docx", "A 27284-2024")</f>
        <v/>
      </c>
      <c r="Y6">
        <f>HYPERLINK("https://klasma.github.io/Logging_2417/tillsynsmail/A 27284-2024 tillsynsbegäran mail.docx", "A 27284-2024")</f>
        <v/>
      </c>
      <c r="Z6">
        <f>HYPERLINK("https://klasma.github.io/Logging_2417/fåglar/A 27284-2024 prioriterade fågelarter.docx", "A 27284-2024")</f>
        <v/>
      </c>
    </row>
    <row r="7" ht="15" customHeight="1">
      <c r="A7" t="inlineStr">
        <is>
          <t>A 34921-2019</t>
        </is>
      </c>
      <c r="B7" s="1" t="n">
        <v>43658</v>
      </c>
      <c r="C7" s="1" t="n">
        <v>45847</v>
      </c>
      <c r="D7" t="inlineStr">
        <is>
          <t>VÄSTERBOTTENS LÄN</t>
        </is>
      </c>
      <c r="E7" t="inlineStr">
        <is>
          <t>NORSJÖ</t>
        </is>
      </c>
      <c r="G7" t="n">
        <v>12</v>
      </c>
      <c r="H7" t="n">
        <v>0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Gammelgransskål
Garnlav
Lunglav
Ullticka
Bårdlav
Luddlav
Stuplav</t>
        </is>
      </c>
      <c r="S7">
        <f>HYPERLINK("https://klasma.github.io/Logging_2417/artfynd/A 34921-2019 artfynd.xlsx", "A 34921-2019")</f>
        <v/>
      </c>
      <c r="T7">
        <f>HYPERLINK("https://klasma.github.io/Logging_2417/kartor/A 34921-2019 karta.png", "A 34921-2019")</f>
        <v/>
      </c>
      <c r="V7">
        <f>HYPERLINK("https://klasma.github.io/Logging_2417/klagomål/A 34921-2019 FSC-klagomål.docx", "A 34921-2019")</f>
        <v/>
      </c>
      <c r="W7">
        <f>HYPERLINK("https://klasma.github.io/Logging_2417/klagomålsmail/A 34921-2019 FSC-klagomål mail.docx", "A 34921-2019")</f>
        <v/>
      </c>
      <c r="X7">
        <f>HYPERLINK("https://klasma.github.io/Logging_2417/tillsyn/A 34921-2019 tillsynsbegäran.docx", "A 34921-2019")</f>
        <v/>
      </c>
      <c r="Y7">
        <f>HYPERLINK("https://klasma.github.io/Logging_2417/tillsynsmail/A 34921-2019 tillsynsbegäran mail.docx", "A 34921-2019")</f>
        <v/>
      </c>
    </row>
    <row r="8" ht="15" customHeight="1">
      <c r="A8" t="inlineStr">
        <is>
          <t>A 47725-2024</t>
        </is>
      </c>
      <c r="B8" s="1" t="n">
        <v>45588</v>
      </c>
      <c r="C8" s="1" t="n">
        <v>45847</v>
      </c>
      <c r="D8" t="inlineStr">
        <is>
          <t>VÄSTERBOTTENS LÄN</t>
        </is>
      </c>
      <c r="E8" t="inlineStr">
        <is>
          <t>NORSJÖ</t>
        </is>
      </c>
      <c r="G8" t="n">
        <v>3.1</v>
      </c>
      <c r="H8" t="n">
        <v>1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Gammelgransskål
Mörk kolflarnlav
Vitgrynig nållav
Bårdlav
Dropptaggsvamp
Ögonpyrola</t>
        </is>
      </c>
      <c r="S8">
        <f>HYPERLINK("https://klasma.github.io/Logging_2417/artfynd/A 47725-2024 artfynd.xlsx", "A 47725-2024")</f>
        <v/>
      </c>
      <c r="T8">
        <f>HYPERLINK("https://klasma.github.io/Logging_2417/kartor/A 47725-2024 karta.png", "A 47725-2024")</f>
        <v/>
      </c>
      <c r="U8">
        <f>HYPERLINK("https://klasma.github.io/Logging_2417/knärot/A 47725-2024 karta knärot.png", "A 47725-2024")</f>
        <v/>
      </c>
      <c r="V8">
        <f>HYPERLINK("https://klasma.github.io/Logging_2417/klagomål/A 47725-2024 FSC-klagomål.docx", "A 47725-2024")</f>
        <v/>
      </c>
      <c r="W8">
        <f>HYPERLINK("https://klasma.github.io/Logging_2417/klagomålsmail/A 47725-2024 FSC-klagomål mail.docx", "A 47725-2024")</f>
        <v/>
      </c>
      <c r="X8">
        <f>HYPERLINK("https://klasma.github.io/Logging_2417/tillsyn/A 47725-2024 tillsynsbegäran.docx", "A 47725-2024")</f>
        <v/>
      </c>
      <c r="Y8">
        <f>HYPERLINK("https://klasma.github.io/Logging_2417/tillsynsmail/A 47725-2024 tillsynsbegäran mail.docx", "A 47725-2024")</f>
        <v/>
      </c>
    </row>
    <row r="9" ht="15" customHeight="1">
      <c r="A9" t="inlineStr">
        <is>
          <t>A 27283-2024</t>
        </is>
      </c>
      <c r="B9" s="1" t="n">
        <v>45472</v>
      </c>
      <c r="C9" s="1" t="n">
        <v>45847</v>
      </c>
      <c r="D9" t="inlineStr">
        <is>
          <t>VÄSTERBOTTENS LÄN</t>
        </is>
      </c>
      <c r="E9" t="inlineStr">
        <is>
          <t>NORSJÖ</t>
        </is>
      </c>
      <c r="G9" t="n">
        <v>5.9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Rosenticka
Spillkråka
Tretåig hackspett
Trådticka</t>
        </is>
      </c>
      <c r="S9">
        <f>HYPERLINK("https://klasma.github.io/Logging_2417/artfynd/A 27283-2024 artfynd.xlsx", "A 27283-2024")</f>
        <v/>
      </c>
      <c r="T9">
        <f>HYPERLINK("https://klasma.github.io/Logging_2417/kartor/A 27283-2024 karta.png", "A 27283-2024")</f>
        <v/>
      </c>
      <c r="V9">
        <f>HYPERLINK("https://klasma.github.io/Logging_2417/klagomål/A 27283-2024 FSC-klagomål.docx", "A 27283-2024")</f>
        <v/>
      </c>
      <c r="W9">
        <f>HYPERLINK("https://klasma.github.io/Logging_2417/klagomålsmail/A 27283-2024 FSC-klagomål mail.docx", "A 27283-2024")</f>
        <v/>
      </c>
      <c r="X9">
        <f>HYPERLINK("https://klasma.github.io/Logging_2417/tillsyn/A 27283-2024 tillsynsbegäran.docx", "A 27283-2024")</f>
        <v/>
      </c>
      <c r="Y9">
        <f>HYPERLINK("https://klasma.github.io/Logging_2417/tillsynsmail/A 27283-2024 tillsynsbegäran mail.docx", "A 27283-2024")</f>
        <v/>
      </c>
      <c r="Z9">
        <f>HYPERLINK("https://klasma.github.io/Logging_2417/fåglar/A 27283-2024 prioriterade fågelarter.docx", "A 27283-2024")</f>
        <v/>
      </c>
    </row>
    <row r="10" ht="15" customHeight="1">
      <c r="A10" t="inlineStr">
        <is>
          <t>A 44833-2024</t>
        </is>
      </c>
      <c r="B10" s="1" t="n">
        <v>45574</v>
      </c>
      <c r="C10" s="1" t="n">
        <v>45847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50261-2024</t>
        </is>
      </c>
      <c r="B11" s="1" t="n">
        <v>45600</v>
      </c>
      <c r="C11" s="1" t="n">
        <v>45847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6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Gammelgransskål
Vaddporing
Dropptaggsvamp
Skinnlav
Vedticka</t>
        </is>
      </c>
      <c r="S11">
        <f>HYPERLINK("https://klasma.github.io/Logging_2417/artfynd/A 50261-2024 artfynd.xlsx", "A 50261-2024")</f>
        <v/>
      </c>
      <c r="T11">
        <f>HYPERLINK("https://klasma.github.io/Logging_2417/kartor/A 50261-2024 karta.png", "A 50261-2024")</f>
        <v/>
      </c>
      <c r="U11">
        <f>HYPERLINK("https://klasma.github.io/Logging_2417/knärot/A 50261-2024 karta knärot.png", "A 50261-2024")</f>
        <v/>
      </c>
      <c r="V11">
        <f>HYPERLINK("https://klasma.github.io/Logging_2417/klagomål/A 50261-2024 FSC-klagomål.docx", "A 50261-2024")</f>
        <v/>
      </c>
      <c r="W11">
        <f>HYPERLINK("https://klasma.github.io/Logging_2417/klagomålsmail/A 50261-2024 FSC-klagomål mail.docx", "A 50261-2024")</f>
        <v/>
      </c>
      <c r="X11">
        <f>HYPERLINK("https://klasma.github.io/Logging_2417/tillsyn/A 50261-2024 tillsynsbegäran.docx", "A 50261-2024")</f>
        <v/>
      </c>
      <c r="Y11">
        <f>HYPERLINK("https://klasma.github.io/Logging_2417/tillsynsmail/A 50261-2024 tillsynsbegäran mail.docx", "A 50261-2024")</f>
        <v/>
      </c>
    </row>
    <row r="12" ht="15" customHeight="1">
      <c r="A12" t="inlineStr">
        <is>
          <t>A 4008-2025</t>
        </is>
      </c>
      <c r="B12" s="1" t="n">
        <v>45684</v>
      </c>
      <c r="C12" s="1" t="n">
        <v>45847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16.4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Blå taggsvamp
Motaggsvamp
Svart taggsvamp
Dropptaggsvamp
Skarp dropptaggsvamp
Lavskrika</t>
        </is>
      </c>
      <c r="S12">
        <f>HYPERLINK("https://klasma.github.io/Logging_2417/artfynd/A 4008-2025 artfynd.xlsx", "A 4008-2025")</f>
        <v/>
      </c>
      <c r="T12">
        <f>HYPERLINK("https://klasma.github.io/Logging_2417/kartor/A 4008-2025 karta.png", "A 4008-2025")</f>
        <v/>
      </c>
      <c r="V12">
        <f>HYPERLINK("https://klasma.github.io/Logging_2417/klagomål/A 4008-2025 FSC-klagomål.docx", "A 4008-2025")</f>
        <v/>
      </c>
      <c r="W12">
        <f>HYPERLINK("https://klasma.github.io/Logging_2417/klagomålsmail/A 4008-2025 FSC-klagomål mail.docx", "A 4008-2025")</f>
        <v/>
      </c>
      <c r="X12">
        <f>HYPERLINK("https://klasma.github.io/Logging_2417/tillsyn/A 4008-2025 tillsynsbegäran.docx", "A 4008-2025")</f>
        <v/>
      </c>
      <c r="Y12">
        <f>HYPERLINK("https://klasma.github.io/Logging_2417/tillsynsmail/A 4008-2025 tillsynsbegäran mail.docx", "A 4008-2025")</f>
        <v/>
      </c>
      <c r="Z12">
        <f>HYPERLINK("https://klasma.github.io/Logging_2417/fåglar/A 4008-2025 prioriterade fågelarter.docx", "A 4008-2025")</f>
        <v/>
      </c>
    </row>
    <row r="13" ht="15" customHeight="1">
      <c r="A13" t="inlineStr">
        <is>
          <t>A 72326-2021</t>
        </is>
      </c>
      <c r="B13" s="1" t="n">
        <v>44545</v>
      </c>
      <c r="C13" s="1" t="n">
        <v>45847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13.8</v>
      </c>
      <c r="H13" t="n">
        <v>2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Lappranunkel
Spindelblomster
Stuplav</t>
        </is>
      </c>
      <c r="S13">
        <f>HYPERLINK("https://klasma.github.io/Logging_2417/artfynd/A 72326-2021 artfynd.xlsx", "A 72326-2021")</f>
        <v/>
      </c>
      <c r="T13">
        <f>HYPERLINK("https://klasma.github.io/Logging_2417/kartor/A 72326-2021 karta.png", "A 72326-2021")</f>
        <v/>
      </c>
      <c r="V13">
        <f>HYPERLINK("https://klasma.github.io/Logging_2417/klagomål/A 72326-2021 FSC-klagomål.docx", "A 72326-2021")</f>
        <v/>
      </c>
      <c r="W13">
        <f>HYPERLINK("https://klasma.github.io/Logging_2417/klagomålsmail/A 72326-2021 FSC-klagomål mail.docx", "A 72326-2021")</f>
        <v/>
      </c>
      <c r="X13">
        <f>HYPERLINK("https://klasma.github.io/Logging_2417/tillsyn/A 72326-2021 tillsynsbegäran.docx", "A 72326-2021")</f>
        <v/>
      </c>
      <c r="Y13">
        <f>HYPERLINK("https://klasma.github.io/Logging_2417/tillsynsmail/A 72326-2021 tillsynsbegäran mail.docx", "A 72326-2021")</f>
        <v/>
      </c>
    </row>
    <row r="14" ht="15" customHeight="1">
      <c r="A14" t="inlineStr">
        <is>
          <t>A 32238-2024</t>
        </is>
      </c>
      <c r="B14" s="1" t="n">
        <v>45512</v>
      </c>
      <c r="C14" s="1" t="n">
        <v>45847</v>
      </c>
      <c r="D14" t="inlineStr">
        <is>
          <t>VÄSTERBOTTENS LÄN</t>
        </is>
      </c>
      <c r="E14" t="inlineStr">
        <is>
          <t>NORSJÖ</t>
        </is>
      </c>
      <c r="G14" t="n">
        <v>13.4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Blå taggsvamp
Orange taggsvamp
Tallriska
Plattlummer
Skarp dropptaggsvamp</t>
        </is>
      </c>
      <c r="S14">
        <f>HYPERLINK("https://klasma.github.io/Logging_2417/artfynd/A 32238-2024 artfynd.xlsx", "A 32238-2024")</f>
        <v/>
      </c>
      <c r="T14">
        <f>HYPERLINK("https://klasma.github.io/Logging_2417/kartor/A 32238-2024 karta.png", "A 32238-2024")</f>
        <v/>
      </c>
      <c r="V14">
        <f>HYPERLINK("https://klasma.github.io/Logging_2417/klagomål/A 32238-2024 FSC-klagomål.docx", "A 32238-2024")</f>
        <v/>
      </c>
      <c r="W14">
        <f>HYPERLINK("https://klasma.github.io/Logging_2417/klagomålsmail/A 32238-2024 FSC-klagomål mail.docx", "A 32238-2024")</f>
        <v/>
      </c>
      <c r="X14">
        <f>HYPERLINK("https://klasma.github.io/Logging_2417/tillsyn/A 32238-2024 tillsynsbegäran.docx", "A 32238-2024")</f>
        <v/>
      </c>
      <c r="Y14">
        <f>HYPERLINK("https://klasma.github.io/Logging_2417/tillsynsmail/A 32238-2024 tillsynsbegäran mail.docx", "A 32238-2024")</f>
        <v/>
      </c>
    </row>
    <row r="15" ht="15" customHeight="1">
      <c r="A15" t="inlineStr">
        <is>
          <t>A 32237-2024</t>
        </is>
      </c>
      <c r="B15" s="1" t="n">
        <v>45512</v>
      </c>
      <c r="C15" s="1" t="n">
        <v>45847</v>
      </c>
      <c r="D15" t="inlineStr">
        <is>
          <t>VÄSTERBOTTENS LÄN</t>
        </is>
      </c>
      <c r="E15" t="inlineStr">
        <is>
          <t>NORSJÖ</t>
        </is>
      </c>
      <c r="G15" t="n">
        <v>10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Torrmusseron
Blå taggsvamp
Motaggsvamp
Skrovlig taggsvamp
Dropptaggsvamp</t>
        </is>
      </c>
      <c r="S15">
        <f>HYPERLINK("https://klasma.github.io/Logging_2417/artfynd/A 32237-2024 artfynd.xlsx", "A 32237-2024")</f>
        <v/>
      </c>
      <c r="T15">
        <f>HYPERLINK("https://klasma.github.io/Logging_2417/kartor/A 32237-2024 karta.png", "A 32237-2024")</f>
        <v/>
      </c>
      <c r="V15">
        <f>HYPERLINK("https://klasma.github.io/Logging_2417/klagomål/A 32237-2024 FSC-klagomål.docx", "A 32237-2024")</f>
        <v/>
      </c>
      <c r="W15">
        <f>HYPERLINK("https://klasma.github.io/Logging_2417/klagomålsmail/A 32237-2024 FSC-klagomål mail.docx", "A 32237-2024")</f>
        <v/>
      </c>
      <c r="X15">
        <f>HYPERLINK("https://klasma.github.io/Logging_2417/tillsyn/A 32237-2024 tillsynsbegäran.docx", "A 32237-2024")</f>
        <v/>
      </c>
      <c r="Y15">
        <f>HYPERLINK("https://klasma.github.io/Logging_2417/tillsynsmail/A 32237-2024 tillsynsbegäran mail.docx", "A 32237-2024")</f>
        <v/>
      </c>
    </row>
    <row r="16" ht="15" customHeight="1">
      <c r="A16" t="inlineStr">
        <is>
          <t>A 34043-2024</t>
        </is>
      </c>
      <c r="B16" s="1" t="n">
        <v>45523</v>
      </c>
      <c r="C16" s="1" t="n">
        <v>45847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13.6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Goliatmusseron
Blå taggsvamp
Dropptaggsvamp
Plattlummer
Revlummer</t>
        </is>
      </c>
      <c r="S16">
        <f>HYPERLINK("https://klasma.github.io/Logging_2417/artfynd/A 34043-2024 artfynd.xlsx", "A 34043-2024")</f>
        <v/>
      </c>
      <c r="T16">
        <f>HYPERLINK("https://klasma.github.io/Logging_2417/kartor/A 34043-2024 karta.png", "A 34043-2024")</f>
        <v/>
      </c>
      <c r="V16">
        <f>HYPERLINK("https://klasma.github.io/Logging_2417/klagomål/A 34043-2024 FSC-klagomål.docx", "A 34043-2024")</f>
        <v/>
      </c>
      <c r="W16">
        <f>HYPERLINK("https://klasma.github.io/Logging_2417/klagomålsmail/A 34043-2024 FSC-klagomål mail.docx", "A 34043-2024")</f>
        <v/>
      </c>
      <c r="X16">
        <f>HYPERLINK("https://klasma.github.io/Logging_2417/tillsyn/A 34043-2024 tillsynsbegäran.docx", "A 34043-2024")</f>
        <v/>
      </c>
      <c r="Y16">
        <f>HYPERLINK("https://klasma.github.io/Logging_2417/tillsynsmail/A 34043-2024 tillsynsbegäran mail.docx", "A 34043-2024")</f>
        <v/>
      </c>
    </row>
    <row r="17" ht="15" customHeight="1">
      <c r="A17" t="inlineStr">
        <is>
          <t>A 36313-2024</t>
        </is>
      </c>
      <c r="B17" s="1" t="n">
        <v>45534</v>
      </c>
      <c r="C17" s="1" t="n">
        <v>45847</v>
      </c>
      <c r="D17" t="inlineStr">
        <is>
          <t>VÄSTERBOTTENS LÄN</t>
        </is>
      </c>
      <c r="E17" t="inlineStr">
        <is>
          <t>NORSJÖ</t>
        </is>
      </c>
      <c r="G17" t="n">
        <v>4.7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Talltaggsvamp
Skarp dropptaggsvamp</t>
        </is>
      </c>
      <c r="S17">
        <f>HYPERLINK("https://klasma.github.io/Logging_2417/artfynd/A 36313-2024 artfynd.xlsx", "A 36313-2024")</f>
        <v/>
      </c>
      <c r="T17">
        <f>HYPERLINK("https://klasma.github.io/Logging_2417/kartor/A 36313-2024 karta.png", "A 36313-2024")</f>
        <v/>
      </c>
      <c r="V17">
        <f>HYPERLINK("https://klasma.github.io/Logging_2417/klagomål/A 36313-2024 FSC-klagomål.docx", "A 36313-2024")</f>
        <v/>
      </c>
      <c r="W17">
        <f>HYPERLINK("https://klasma.github.io/Logging_2417/klagomålsmail/A 36313-2024 FSC-klagomål mail.docx", "A 36313-2024")</f>
        <v/>
      </c>
      <c r="X17">
        <f>HYPERLINK("https://klasma.github.io/Logging_2417/tillsyn/A 36313-2024 tillsynsbegäran.docx", "A 36313-2024")</f>
        <v/>
      </c>
      <c r="Y17">
        <f>HYPERLINK("https://klasma.github.io/Logging_2417/tillsynsmail/A 36313-2024 tillsynsbegäran mail.docx", "A 36313-2024")</f>
        <v/>
      </c>
    </row>
    <row r="18" ht="15" customHeight="1">
      <c r="A18" t="inlineStr">
        <is>
          <t>A 32387-2024</t>
        </is>
      </c>
      <c r="B18" s="1" t="n">
        <v>45512</v>
      </c>
      <c r="C18" s="1" t="n">
        <v>45847</v>
      </c>
      <c r="D18" t="inlineStr">
        <is>
          <t>VÄSTERBOTTENS LÄN</t>
        </is>
      </c>
      <c r="E18" t="inlineStr">
        <is>
          <t>NORSJÖ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Goliatmusseron
Blå taggsvamp
Dropptaggsvamp
Plattlummer</t>
        </is>
      </c>
      <c r="S18">
        <f>HYPERLINK("https://klasma.github.io/Logging_2417/artfynd/A 32387-2024 artfynd.xlsx", "A 32387-2024")</f>
        <v/>
      </c>
      <c r="T18">
        <f>HYPERLINK("https://klasma.github.io/Logging_2417/kartor/A 32387-2024 karta.png", "A 32387-2024")</f>
        <v/>
      </c>
      <c r="V18">
        <f>HYPERLINK("https://klasma.github.io/Logging_2417/klagomål/A 32387-2024 FSC-klagomål.docx", "A 32387-2024")</f>
        <v/>
      </c>
      <c r="W18">
        <f>HYPERLINK("https://klasma.github.io/Logging_2417/klagomålsmail/A 32387-2024 FSC-klagomål mail.docx", "A 32387-2024")</f>
        <v/>
      </c>
      <c r="X18">
        <f>HYPERLINK("https://klasma.github.io/Logging_2417/tillsyn/A 32387-2024 tillsynsbegäran.docx", "A 32387-2024")</f>
        <v/>
      </c>
      <c r="Y18">
        <f>HYPERLINK("https://klasma.github.io/Logging_2417/tillsynsmail/A 32387-2024 tillsynsbegäran mail.docx", "A 32387-2024")</f>
        <v/>
      </c>
    </row>
    <row r="19" ht="15" customHeight="1">
      <c r="A19" t="inlineStr">
        <is>
          <t>A 47450-2024</t>
        </is>
      </c>
      <c r="B19" s="1" t="n">
        <v>45587</v>
      </c>
      <c r="C19" s="1" t="n">
        <v>45847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4.5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Blå taggsvamp
Orange taggsvamp
Dropptaggsvamp
Nästlav</t>
        </is>
      </c>
      <c r="S19">
        <f>HYPERLINK("https://klasma.github.io/Logging_2417/artfynd/A 47450-2024 artfynd.xlsx", "A 47450-2024")</f>
        <v/>
      </c>
      <c r="T19">
        <f>HYPERLINK("https://klasma.github.io/Logging_2417/kartor/A 47450-2024 karta.png", "A 47450-2024")</f>
        <v/>
      </c>
      <c r="V19">
        <f>HYPERLINK("https://klasma.github.io/Logging_2417/klagomål/A 47450-2024 FSC-klagomål.docx", "A 47450-2024")</f>
        <v/>
      </c>
      <c r="W19">
        <f>HYPERLINK("https://klasma.github.io/Logging_2417/klagomålsmail/A 47450-2024 FSC-klagomål mail.docx", "A 47450-2024")</f>
        <v/>
      </c>
      <c r="X19">
        <f>HYPERLINK("https://klasma.github.io/Logging_2417/tillsyn/A 47450-2024 tillsynsbegäran.docx", "A 47450-2024")</f>
        <v/>
      </c>
      <c r="Y19">
        <f>HYPERLINK("https://klasma.github.io/Logging_2417/tillsynsmail/A 47450-2024 tillsynsbegäran mail.docx", "A 47450-2024")</f>
        <v/>
      </c>
    </row>
    <row r="20" ht="15" customHeight="1">
      <c r="A20" t="inlineStr">
        <is>
          <t>A 47332-2024</t>
        </is>
      </c>
      <c r="B20" s="1" t="n">
        <v>45587</v>
      </c>
      <c r="C20" s="1" t="n">
        <v>45847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17.5</v>
      </c>
      <c r="H20" t="n">
        <v>0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Lammticka
Motaggsvamp
Orange taggsvamp
Dropptaggsvamp</t>
        </is>
      </c>
      <c r="S20">
        <f>HYPERLINK("https://klasma.github.io/Logging_2417/artfynd/A 47332-2024 artfynd.xlsx", "A 47332-2024")</f>
        <v/>
      </c>
      <c r="T20">
        <f>HYPERLINK("https://klasma.github.io/Logging_2417/kartor/A 47332-2024 karta.png", "A 47332-2024")</f>
        <v/>
      </c>
      <c r="V20">
        <f>HYPERLINK("https://klasma.github.io/Logging_2417/klagomål/A 47332-2024 FSC-klagomål.docx", "A 47332-2024")</f>
        <v/>
      </c>
      <c r="W20">
        <f>HYPERLINK("https://klasma.github.io/Logging_2417/klagomålsmail/A 47332-2024 FSC-klagomål mail.docx", "A 47332-2024")</f>
        <v/>
      </c>
      <c r="X20">
        <f>HYPERLINK("https://klasma.github.io/Logging_2417/tillsyn/A 47332-2024 tillsynsbegäran.docx", "A 47332-2024")</f>
        <v/>
      </c>
      <c r="Y20">
        <f>HYPERLINK("https://klasma.github.io/Logging_2417/tillsynsmail/A 47332-2024 tillsynsbegäran mail.docx", "A 47332-2024")</f>
        <v/>
      </c>
    </row>
    <row r="21" ht="15" customHeight="1">
      <c r="A21" t="inlineStr">
        <is>
          <t>A 51644-2021</t>
        </is>
      </c>
      <c r="B21" s="1" t="n">
        <v>44462</v>
      </c>
      <c r="C21" s="1" t="n">
        <v>45847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Bårdlav
Stuplav</t>
        </is>
      </c>
      <c r="S21">
        <f>HYPERLINK("https://klasma.github.io/Logging_2417/artfynd/A 51644-2021 artfynd.xlsx", "A 51644-2021")</f>
        <v/>
      </c>
      <c r="T21">
        <f>HYPERLINK("https://klasma.github.io/Logging_2417/kartor/A 51644-2021 karta.png", "A 51644-2021")</f>
        <v/>
      </c>
      <c r="V21">
        <f>HYPERLINK("https://klasma.github.io/Logging_2417/klagomål/A 51644-2021 FSC-klagomål.docx", "A 51644-2021")</f>
        <v/>
      </c>
      <c r="W21">
        <f>HYPERLINK("https://klasma.github.io/Logging_2417/klagomålsmail/A 51644-2021 FSC-klagomål mail.docx", "A 51644-2021")</f>
        <v/>
      </c>
      <c r="X21">
        <f>HYPERLINK("https://klasma.github.io/Logging_2417/tillsyn/A 51644-2021 tillsynsbegäran.docx", "A 51644-2021")</f>
        <v/>
      </c>
      <c r="Y21">
        <f>HYPERLINK("https://klasma.github.io/Logging_2417/tillsynsmail/A 51644-2021 tillsynsbegäran mail.docx", "A 51644-2021")</f>
        <v/>
      </c>
    </row>
    <row r="22" ht="15" customHeight="1">
      <c r="A22" t="inlineStr">
        <is>
          <t>A 29312-2023</t>
        </is>
      </c>
      <c r="B22" s="1" t="n">
        <v>45106</v>
      </c>
      <c r="C22" s="1" t="n">
        <v>45847</v>
      </c>
      <c r="D22" t="inlineStr">
        <is>
          <t>VÄSTERBOTTENS LÄN</t>
        </is>
      </c>
      <c r="E22" t="inlineStr">
        <is>
          <t>NORSJÖ</t>
        </is>
      </c>
      <c r="G22" t="n">
        <v>19.5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Lunglav
Spillkråka
Tretåig hackspett</t>
        </is>
      </c>
      <c r="S22">
        <f>HYPERLINK("https://klasma.github.io/Logging_2417/artfynd/A 29312-2023 artfynd.xlsx", "A 29312-2023")</f>
        <v/>
      </c>
      <c r="T22">
        <f>HYPERLINK("https://klasma.github.io/Logging_2417/kartor/A 29312-2023 karta.png", "A 29312-2023")</f>
        <v/>
      </c>
      <c r="V22">
        <f>HYPERLINK("https://klasma.github.io/Logging_2417/klagomål/A 29312-2023 FSC-klagomål.docx", "A 29312-2023")</f>
        <v/>
      </c>
      <c r="W22">
        <f>HYPERLINK("https://klasma.github.io/Logging_2417/klagomålsmail/A 29312-2023 FSC-klagomål mail.docx", "A 29312-2023")</f>
        <v/>
      </c>
      <c r="X22">
        <f>HYPERLINK("https://klasma.github.io/Logging_2417/tillsyn/A 29312-2023 tillsynsbegäran.docx", "A 29312-2023")</f>
        <v/>
      </c>
      <c r="Y22">
        <f>HYPERLINK("https://klasma.github.io/Logging_2417/tillsynsmail/A 29312-2023 tillsynsbegäran mail.docx", "A 29312-2023")</f>
        <v/>
      </c>
      <c r="Z22">
        <f>HYPERLINK("https://klasma.github.io/Logging_2417/fåglar/A 29312-2023 prioriterade fågelarter.docx", "A 29312-2023")</f>
        <v/>
      </c>
    </row>
    <row r="23" ht="15" customHeight="1">
      <c r="A23" t="inlineStr">
        <is>
          <t>A 65240-2023</t>
        </is>
      </c>
      <c r="B23" s="1" t="n">
        <v>45289</v>
      </c>
      <c r="C23" s="1" t="n">
        <v>45847</v>
      </c>
      <c r="D23" t="inlineStr">
        <is>
          <t>VÄSTERBOTTENS LÄN</t>
        </is>
      </c>
      <c r="E23" t="inlineStr">
        <is>
          <t>NORSJÖ</t>
        </is>
      </c>
      <c r="G23" t="n">
        <v>4.8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Spillkråka
Ullticka</t>
        </is>
      </c>
      <c r="S23">
        <f>HYPERLINK("https://klasma.github.io/Logging_2417/artfynd/A 65240-2023 artfynd.xlsx", "A 65240-2023")</f>
        <v/>
      </c>
      <c r="T23">
        <f>HYPERLINK("https://klasma.github.io/Logging_2417/kartor/A 65240-2023 karta.png", "A 65240-2023")</f>
        <v/>
      </c>
      <c r="V23">
        <f>HYPERLINK("https://klasma.github.io/Logging_2417/klagomål/A 65240-2023 FSC-klagomål.docx", "A 65240-2023")</f>
        <v/>
      </c>
      <c r="W23">
        <f>HYPERLINK("https://klasma.github.io/Logging_2417/klagomålsmail/A 65240-2023 FSC-klagomål mail.docx", "A 65240-2023")</f>
        <v/>
      </c>
      <c r="X23">
        <f>HYPERLINK("https://klasma.github.io/Logging_2417/tillsyn/A 65240-2023 tillsynsbegäran.docx", "A 65240-2023")</f>
        <v/>
      </c>
      <c r="Y23">
        <f>HYPERLINK("https://klasma.github.io/Logging_2417/tillsynsmail/A 65240-2023 tillsynsbegäran mail.docx", "A 65240-2023")</f>
        <v/>
      </c>
      <c r="Z23">
        <f>HYPERLINK("https://klasma.github.io/Logging_2417/fåglar/A 65240-2023 prioriterade fågelarter.docx", "A 65240-2023")</f>
        <v/>
      </c>
    </row>
    <row r="24" ht="15" customHeight="1">
      <c r="A24" t="inlineStr">
        <is>
          <t>A 33529-2024</t>
        </is>
      </c>
      <c r="B24" s="1" t="n">
        <v>45519</v>
      </c>
      <c r="C24" s="1" t="n">
        <v>45847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11.8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Lunglav
Bårdlav
Skinnlav</t>
        </is>
      </c>
      <c r="S24">
        <f>HYPERLINK("https://klasma.github.io/Logging_2417/artfynd/A 33529-2024 artfynd.xlsx", "A 33529-2024")</f>
        <v/>
      </c>
      <c r="T24">
        <f>HYPERLINK("https://klasma.github.io/Logging_2417/kartor/A 33529-2024 karta.png", "A 33529-2024")</f>
        <v/>
      </c>
      <c r="V24">
        <f>HYPERLINK("https://klasma.github.io/Logging_2417/klagomål/A 33529-2024 FSC-klagomål.docx", "A 33529-2024")</f>
        <v/>
      </c>
      <c r="W24">
        <f>HYPERLINK("https://klasma.github.io/Logging_2417/klagomålsmail/A 33529-2024 FSC-klagomål mail.docx", "A 33529-2024")</f>
        <v/>
      </c>
      <c r="X24">
        <f>HYPERLINK("https://klasma.github.io/Logging_2417/tillsyn/A 33529-2024 tillsynsbegäran.docx", "A 33529-2024")</f>
        <v/>
      </c>
      <c r="Y24">
        <f>HYPERLINK("https://klasma.github.io/Logging_2417/tillsynsmail/A 33529-2024 tillsynsbegäran mail.docx", "A 33529-2024")</f>
        <v/>
      </c>
    </row>
    <row r="25" ht="15" customHeight="1">
      <c r="A25" t="inlineStr">
        <is>
          <t>A 47327-2024</t>
        </is>
      </c>
      <c r="B25" s="1" t="n">
        <v>45587</v>
      </c>
      <c r="C25" s="1" t="n">
        <v>45847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Blå taggsvamp
Dropptaggsvamp
Skarp dropptaggsvamp</t>
        </is>
      </c>
      <c r="S25">
        <f>HYPERLINK("https://klasma.github.io/Logging_2417/artfynd/A 47327-2024 artfynd.xlsx", "A 47327-2024")</f>
        <v/>
      </c>
      <c r="T25">
        <f>HYPERLINK("https://klasma.github.io/Logging_2417/kartor/A 47327-2024 karta.png", "A 47327-2024")</f>
        <v/>
      </c>
      <c r="V25">
        <f>HYPERLINK("https://klasma.github.io/Logging_2417/klagomål/A 47327-2024 FSC-klagomål.docx", "A 47327-2024")</f>
        <v/>
      </c>
      <c r="W25">
        <f>HYPERLINK("https://klasma.github.io/Logging_2417/klagomålsmail/A 47327-2024 FSC-klagomål mail.docx", "A 47327-2024")</f>
        <v/>
      </c>
      <c r="X25">
        <f>HYPERLINK("https://klasma.github.io/Logging_2417/tillsyn/A 47327-2024 tillsynsbegäran.docx", "A 47327-2024")</f>
        <v/>
      </c>
      <c r="Y25">
        <f>HYPERLINK("https://klasma.github.io/Logging_2417/tillsynsmail/A 47327-2024 tillsynsbegäran mail.docx", "A 47327-2024")</f>
        <v/>
      </c>
    </row>
    <row r="26" ht="15" customHeight="1">
      <c r="A26" t="inlineStr">
        <is>
          <t>A 55641-2024</t>
        </is>
      </c>
      <c r="B26" s="1" t="n">
        <v>45622</v>
      </c>
      <c r="C26" s="1" t="n">
        <v>45847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14.6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Stjärntagging</t>
        </is>
      </c>
      <c r="S26">
        <f>HYPERLINK("https://klasma.github.io/Logging_2417/artfynd/A 55641-2024 artfynd.xlsx", "A 55641-2024")</f>
        <v/>
      </c>
      <c r="T26">
        <f>HYPERLINK("https://klasma.github.io/Logging_2417/kartor/A 55641-2024 karta.png", "A 55641-2024")</f>
        <v/>
      </c>
      <c r="V26">
        <f>HYPERLINK("https://klasma.github.io/Logging_2417/klagomål/A 55641-2024 FSC-klagomål.docx", "A 55641-2024")</f>
        <v/>
      </c>
      <c r="W26">
        <f>HYPERLINK("https://klasma.github.io/Logging_2417/klagomålsmail/A 55641-2024 FSC-klagomål mail.docx", "A 55641-2024")</f>
        <v/>
      </c>
      <c r="X26">
        <f>HYPERLINK("https://klasma.github.io/Logging_2417/tillsyn/A 55641-2024 tillsynsbegäran.docx", "A 55641-2024")</f>
        <v/>
      </c>
      <c r="Y26">
        <f>HYPERLINK("https://klasma.github.io/Logging_2417/tillsynsmail/A 55641-2024 tillsynsbegäran mail.docx", "A 55641-2024")</f>
        <v/>
      </c>
    </row>
    <row r="27" ht="15" customHeight="1">
      <c r="A27" t="inlineStr">
        <is>
          <t>A 53694-2019</t>
        </is>
      </c>
      <c r="B27" s="1" t="n">
        <v>43749</v>
      </c>
      <c r="C27" s="1" t="n">
        <v>45847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Harticka</t>
        </is>
      </c>
      <c r="S27">
        <f>HYPERLINK("https://klasma.github.io/Logging_2417/artfynd/A 53694-2019 artfynd.xlsx", "A 53694-2019")</f>
        <v/>
      </c>
      <c r="T27">
        <f>HYPERLINK("https://klasma.github.io/Logging_2417/kartor/A 53694-2019 karta.png", "A 53694-2019")</f>
        <v/>
      </c>
      <c r="V27">
        <f>HYPERLINK("https://klasma.github.io/Logging_2417/klagomål/A 53694-2019 FSC-klagomål.docx", "A 53694-2019")</f>
        <v/>
      </c>
      <c r="W27">
        <f>HYPERLINK("https://klasma.github.io/Logging_2417/klagomålsmail/A 53694-2019 FSC-klagomål mail.docx", "A 53694-2019")</f>
        <v/>
      </c>
      <c r="X27">
        <f>HYPERLINK("https://klasma.github.io/Logging_2417/tillsyn/A 53694-2019 tillsynsbegäran.docx", "A 53694-2019")</f>
        <v/>
      </c>
      <c r="Y27">
        <f>HYPERLINK("https://klasma.github.io/Logging_2417/tillsynsmail/A 53694-2019 tillsynsbegäran mail.docx", "A 53694-2019")</f>
        <v/>
      </c>
    </row>
    <row r="28" ht="15" customHeight="1">
      <c r="A28" t="inlineStr">
        <is>
          <t>A 55745-2021</t>
        </is>
      </c>
      <c r="B28" s="1" t="n">
        <v>44476</v>
      </c>
      <c r="C28" s="1" t="n">
        <v>45847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21.5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Vitgrynig nållav</t>
        </is>
      </c>
      <c r="S28">
        <f>HYPERLINK("https://klasma.github.io/Logging_2417/artfynd/A 55745-2021 artfynd.xlsx", "A 55745-2021")</f>
        <v/>
      </c>
      <c r="T28">
        <f>HYPERLINK("https://klasma.github.io/Logging_2417/kartor/A 55745-2021 karta.png", "A 55745-2021")</f>
        <v/>
      </c>
      <c r="V28">
        <f>HYPERLINK("https://klasma.github.io/Logging_2417/klagomål/A 55745-2021 FSC-klagomål.docx", "A 55745-2021")</f>
        <v/>
      </c>
      <c r="W28">
        <f>HYPERLINK("https://klasma.github.io/Logging_2417/klagomålsmail/A 55745-2021 FSC-klagomål mail.docx", "A 55745-2021")</f>
        <v/>
      </c>
      <c r="X28">
        <f>HYPERLINK("https://klasma.github.io/Logging_2417/tillsyn/A 55745-2021 tillsynsbegäran.docx", "A 55745-2021")</f>
        <v/>
      </c>
      <c r="Y28">
        <f>HYPERLINK("https://klasma.github.io/Logging_2417/tillsynsmail/A 55745-2021 tillsynsbegäran mail.docx", "A 55745-2021")</f>
        <v/>
      </c>
    </row>
    <row r="29" ht="15" customHeight="1">
      <c r="A29" t="inlineStr">
        <is>
          <t>A 42950-2022</t>
        </is>
      </c>
      <c r="B29" s="1" t="n">
        <v>44832</v>
      </c>
      <c r="C29" s="1" t="n">
        <v>45847</v>
      </c>
      <c r="D29" t="inlineStr">
        <is>
          <t>VÄSTERBOTTENS LÄN</t>
        </is>
      </c>
      <c r="E29" t="inlineStr">
        <is>
          <t>NORSJÖ</t>
        </is>
      </c>
      <c r="G29" t="n">
        <v>5.2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Trana</t>
        </is>
      </c>
      <c r="S29">
        <f>HYPERLINK("https://klasma.github.io/Logging_2417/artfynd/A 42950-2022 artfynd.xlsx", "A 42950-2022")</f>
        <v/>
      </c>
      <c r="T29">
        <f>HYPERLINK("https://klasma.github.io/Logging_2417/kartor/A 42950-2022 karta.png", "A 42950-2022")</f>
        <v/>
      </c>
      <c r="V29">
        <f>HYPERLINK("https://klasma.github.io/Logging_2417/klagomål/A 42950-2022 FSC-klagomål.docx", "A 42950-2022")</f>
        <v/>
      </c>
      <c r="W29">
        <f>HYPERLINK("https://klasma.github.io/Logging_2417/klagomålsmail/A 42950-2022 FSC-klagomål mail.docx", "A 42950-2022")</f>
        <v/>
      </c>
      <c r="X29">
        <f>HYPERLINK("https://klasma.github.io/Logging_2417/tillsyn/A 42950-2022 tillsynsbegäran.docx", "A 42950-2022")</f>
        <v/>
      </c>
      <c r="Y29">
        <f>HYPERLINK("https://klasma.github.io/Logging_2417/tillsynsmail/A 42950-2022 tillsynsbegäran mail.docx", "A 42950-2022")</f>
        <v/>
      </c>
      <c r="Z29">
        <f>HYPERLINK("https://klasma.github.io/Logging_2417/fåglar/A 42950-2022 prioriterade fågelarter.docx", "A 42950-2022")</f>
        <v/>
      </c>
    </row>
    <row r="30" ht="15" customHeight="1">
      <c r="A30" t="inlineStr">
        <is>
          <t>A 47362-2022</t>
        </is>
      </c>
      <c r="B30" s="1" t="n">
        <v>44853</v>
      </c>
      <c r="C30" s="1" t="n">
        <v>45847</v>
      </c>
      <c r="D30" t="inlineStr">
        <is>
          <t>VÄSTERBOTTENS LÄN</t>
        </is>
      </c>
      <c r="E30" t="inlineStr">
        <is>
          <t>NORSJÖ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Ullticka</t>
        </is>
      </c>
      <c r="S30">
        <f>HYPERLINK("https://klasma.github.io/Logging_2417/artfynd/A 47362-2022 artfynd.xlsx", "A 47362-2022")</f>
        <v/>
      </c>
      <c r="T30">
        <f>HYPERLINK("https://klasma.github.io/Logging_2417/kartor/A 47362-2022 karta.png", "A 47362-2022")</f>
        <v/>
      </c>
      <c r="V30">
        <f>HYPERLINK("https://klasma.github.io/Logging_2417/klagomål/A 47362-2022 FSC-klagomål.docx", "A 47362-2022")</f>
        <v/>
      </c>
      <c r="W30">
        <f>HYPERLINK("https://klasma.github.io/Logging_2417/klagomålsmail/A 47362-2022 FSC-klagomål mail.docx", "A 47362-2022")</f>
        <v/>
      </c>
      <c r="X30">
        <f>HYPERLINK("https://klasma.github.io/Logging_2417/tillsyn/A 47362-2022 tillsynsbegäran.docx", "A 47362-2022")</f>
        <v/>
      </c>
      <c r="Y30">
        <f>HYPERLINK("https://klasma.github.io/Logging_2417/tillsynsmail/A 47362-2022 tillsynsbegäran mail.docx", "A 47362-2022")</f>
        <v/>
      </c>
    </row>
    <row r="31" ht="15" customHeight="1">
      <c r="A31" t="inlineStr">
        <is>
          <t>A 19726-2023</t>
        </is>
      </c>
      <c r="B31" s="1" t="n">
        <v>45051</v>
      </c>
      <c r="C31" s="1" t="n">
        <v>45847</v>
      </c>
      <c r="D31" t="inlineStr">
        <is>
          <t>VÄSTERBOTTENS LÄN</t>
        </is>
      </c>
      <c r="E31" t="inlineStr">
        <is>
          <t>NORSJÖ</t>
        </is>
      </c>
      <c r="G31" t="n">
        <v>14.4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Tallbit
Talltita</t>
        </is>
      </c>
      <c r="S31">
        <f>HYPERLINK("https://klasma.github.io/Logging_2417/artfynd/A 19726-2023 artfynd.xlsx", "A 19726-2023")</f>
        <v/>
      </c>
      <c r="T31">
        <f>HYPERLINK("https://klasma.github.io/Logging_2417/kartor/A 19726-2023 karta.png", "A 19726-2023")</f>
        <v/>
      </c>
      <c r="V31">
        <f>HYPERLINK("https://klasma.github.io/Logging_2417/klagomål/A 19726-2023 FSC-klagomål.docx", "A 19726-2023")</f>
        <v/>
      </c>
      <c r="W31">
        <f>HYPERLINK("https://klasma.github.io/Logging_2417/klagomålsmail/A 19726-2023 FSC-klagomål mail.docx", "A 19726-2023")</f>
        <v/>
      </c>
      <c r="X31">
        <f>HYPERLINK("https://klasma.github.io/Logging_2417/tillsyn/A 19726-2023 tillsynsbegäran.docx", "A 19726-2023")</f>
        <v/>
      </c>
      <c r="Y31">
        <f>HYPERLINK("https://klasma.github.io/Logging_2417/tillsynsmail/A 19726-2023 tillsynsbegäran mail.docx", "A 19726-2023")</f>
        <v/>
      </c>
      <c r="Z31">
        <f>HYPERLINK("https://klasma.github.io/Logging_2417/fåglar/A 19726-2023 prioriterade fågelarter.docx", "A 19726-2023")</f>
        <v/>
      </c>
    </row>
    <row r="32" ht="15" customHeight="1">
      <c r="A32" t="inlineStr">
        <is>
          <t>A 18555-2024</t>
        </is>
      </c>
      <c r="B32" s="1" t="n">
        <v>45425</v>
      </c>
      <c r="C32" s="1" t="n">
        <v>45847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Revlummer</t>
        </is>
      </c>
      <c r="S32">
        <f>HYPERLINK("https://klasma.github.io/Logging_2417/artfynd/A 18555-2024 artfynd.xlsx", "A 18555-2024")</f>
        <v/>
      </c>
      <c r="T32">
        <f>HYPERLINK("https://klasma.github.io/Logging_2417/kartor/A 18555-2024 karta.png", "A 18555-2024")</f>
        <v/>
      </c>
      <c r="V32">
        <f>HYPERLINK("https://klasma.github.io/Logging_2417/klagomål/A 18555-2024 FSC-klagomål.docx", "A 18555-2024")</f>
        <v/>
      </c>
      <c r="W32">
        <f>HYPERLINK("https://klasma.github.io/Logging_2417/klagomålsmail/A 18555-2024 FSC-klagomål mail.docx", "A 18555-2024")</f>
        <v/>
      </c>
      <c r="X32">
        <f>HYPERLINK("https://klasma.github.io/Logging_2417/tillsyn/A 18555-2024 tillsynsbegäran.docx", "A 18555-2024")</f>
        <v/>
      </c>
      <c r="Y32">
        <f>HYPERLINK("https://klasma.github.io/Logging_2417/tillsynsmail/A 18555-2024 tillsynsbegäran mail.docx", "A 18555-2024")</f>
        <v/>
      </c>
    </row>
    <row r="33" ht="15" customHeight="1">
      <c r="A33" t="inlineStr">
        <is>
          <t>A 21599-2024</t>
        </is>
      </c>
      <c r="B33" s="1" t="n">
        <v>45442</v>
      </c>
      <c r="C33" s="1" t="n">
        <v>45847</v>
      </c>
      <c r="D33" t="inlineStr">
        <is>
          <t>VÄSTERBOTTENS LÄN</t>
        </is>
      </c>
      <c r="E33" t="inlineStr">
        <is>
          <t>NORSJÖ</t>
        </is>
      </c>
      <c r="G33" t="n">
        <v>5.9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HYPERLINK("https://klasma.github.io/Logging_2417/artfynd/A 21599-2024 artfynd.xlsx", "A 21599-2024")</f>
        <v/>
      </c>
      <c r="T33">
        <f>HYPERLINK("https://klasma.github.io/Logging_2417/kartor/A 21599-2024 karta.png", "A 21599-2024")</f>
        <v/>
      </c>
      <c r="V33">
        <f>HYPERLINK("https://klasma.github.io/Logging_2417/klagomål/A 21599-2024 FSC-klagomål.docx", "A 21599-2024")</f>
        <v/>
      </c>
      <c r="W33">
        <f>HYPERLINK("https://klasma.github.io/Logging_2417/klagomålsmail/A 21599-2024 FSC-klagomål mail.docx", "A 21599-2024")</f>
        <v/>
      </c>
      <c r="X33">
        <f>HYPERLINK("https://klasma.github.io/Logging_2417/tillsyn/A 21599-2024 tillsynsbegäran.docx", "A 21599-2024")</f>
        <v/>
      </c>
      <c r="Y33">
        <f>HYPERLINK("https://klasma.github.io/Logging_2417/tillsynsmail/A 21599-2024 tillsynsbegäran mail.docx", "A 21599-2024")</f>
        <v/>
      </c>
    </row>
    <row r="34" ht="15" customHeight="1">
      <c r="A34" t="inlineStr">
        <is>
          <t>A 32618-2024</t>
        </is>
      </c>
      <c r="B34" s="1" t="n">
        <v>45513</v>
      </c>
      <c r="C34" s="1" t="n">
        <v>45847</v>
      </c>
      <c r="D34" t="inlineStr">
        <is>
          <t>VÄSTERBOTTENS LÄN</t>
        </is>
      </c>
      <c r="E34" t="inlineStr">
        <is>
          <t>NORSJÖ</t>
        </is>
      </c>
      <c r="F34" t="inlineStr">
        <is>
          <t>Holmen skog AB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HYPERLINK("https://klasma.github.io/Logging_2417/artfynd/A 32618-2024 artfynd.xlsx", "A 32618-2024")</f>
        <v/>
      </c>
      <c r="T34">
        <f>HYPERLINK("https://klasma.github.io/Logging_2417/kartor/A 32618-2024 karta.png", "A 32618-2024")</f>
        <v/>
      </c>
      <c r="V34">
        <f>HYPERLINK("https://klasma.github.io/Logging_2417/klagomål/A 32618-2024 FSC-klagomål.docx", "A 32618-2024")</f>
        <v/>
      </c>
      <c r="W34">
        <f>HYPERLINK("https://klasma.github.io/Logging_2417/klagomålsmail/A 32618-2024 FSC-klagomål mail.docx", "A 32618-2024")</f>
        <v/>
      </c>
      <c r="X34">
        <f>HYPERLINK("https://klasma.github.io/Logging_2417/tillsyn/A 32618-2024 tillsynsbegäran.docx", "A 32618-2024")</f>
        <v/>
      </c>
      <c r="Y34">
        <f>HYPERLINK("https://klasma.github.io/Logging_2417/tillsynsmail/A 32618-2024 tillsynsbegäran mail.docx", "A 32618-2024")</f>
        <v/>
      </c>
    </row>
    <row r="35" ht="15" customHeight="1">
      <c r="A35" t="inlineStr">
        <is>
          <t>A 35430-2024</t>
        </is>
      </c>
      <c r="B35" s="1" t="n">
        <v>45531</v>
      </c>
      <c r="C35" s="1" t="n">
        <v>45847</v>
      </c>
      <c r="D35" t="inlineStr">
        <is>
          <t>VÄSTERBOTTENS LÄN</t>
        </is>
      </c>
      <c r="E35" t="inlineStr">
        <is>
          <t>NORSJÖ</t>
        </is>
      </c>
      <c r="G35" t="n">
        <v>6.1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Tjäder</t>
        </is>
      </c>
      <c r="S35">
        <f>HYPERLINK("https://klasma.github.io/Logging_2417/artfynd/A 35430-2024 artfynd.xlsx", "A 35430-2024")</f>
        <v/>
      </c>
      <c r="T35">
        <f>HYPERLINK("https://klasma.github.io/Logging_2417/kartor/A 35430-2024 karta.png", "A 35430-2024")</f>
        <v/>
      </c>
      <c r="V35">
        <f>HYPERLINK("https://klasma.github.io/Logging_2417/klagomål/A 35430-2024 FSC-klagomål.docx", "A 35430-2024")</f>
        <v/>
      </c>
      <c r="W35">
        <f>HYPERLINK("https://klasma.github.io/Logging_2417/klagomålsmail/A 35430-2024 FSC-klagomål mail.docx", "A 35430-2024")</f>
        <v/>
      </c>
      <c r="X35">
        <f>HYPERLINK("https://klasma.github.io/Logging_2417/tillsyn/A 35430-2024 tillsynsbegäran.docx", "A 35430-2024")</f>
        <v/>
      </c>
      <c r="Y35">
        <f>HYPERLINK("https://klasma.github.io/Logging_2417/tillsynsmail/A 35430-2024 tillsynsbegäran mail.docx", "A 35430-2024")</f>
        <v/>
      </c>
      <c r="Z35">
        <f>HYPERLINK("https://klasma.github.io/Logging_2417/fåglar/A 35430-2024 prioriterade fågelarter.docx", "A 35430-2024")</f>
        <v/>
      </c>
    </row>
    <row r="36" ht="15" customHeight="1">
      <c r="A36" t="inlineStr">
        <is>
          <t>A 38052-2024</t>
        </is>
      </c>
      <c r="B36" s="1" t="n">
        <v>45544</v>
      </c>
      <c r="C36" s="1" t="n">
        <v>45847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Fläcknycklar</t>
        </is>
      </c>
      <c r="S36">
        <f>HYPERLINK("https://klasma.github.io/Logging_2417/artfynd/A 38052-2024 artfynd.xlsx", "A 38052-2024")</f>
        <v/>
      </c>
      <c r="T36">
        <f>HYPERLINK("https://klasma.github.io/Logging_2417/kartor/A 38052-2024 karta.png", "A 38052-2024")</f>
        <v/>
      </c>
      <c r="V36">
        <f>HYPERLINK("https://klasma.github.io/Logging_2417/klagomål/A 38052-2024 FSC-klagomål.docx", "A 38052-2024")</f>
        <v/>
      </c>
      <c r="W36">
        <f>HYPERLINK("https://klasma.github.io/Logging_2417/klagomålsmail/A 38052-2024 FSC-klagomål mail.docx", "A 38052-2024")</f>
        <v/>
      </c>
      <c r="X36">
        <f>HYPERLINK("https://klasma.github.io/Logging_2417/tillsyn/A 38052-2024 tillsynsbegäran.docx", "A 38052-2024")</f>
        <v/>
      </c>
      <c r="Y36">
        <f>HYPERLINK("https://klasma.github.io/Logging_2417/tillsynsmail/A 38052-2024 tillsynsbegäran mail.docx", "A 38052-2024")</f>
        <v/>
      </c>
    </row>
    <row r="37" ht="15" customHeight="1">
      <c r="A37" t="inlineStr">
        <is>
          <t>A 52538-2024</t>
        </is>
      </c>
      <c r="B37" s="1" t="n">
        <v>45609</v>
      </c>
      <c r="C37" s="1" t="n">
        <v>45847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Orange taggsvamp</t>
        </is>
      </c>
      <c r="S37">
        <f>HYPERLINK("https://klasma.github.io/Logging_2417/artfynd/A 52538-2024 artfynd.xlsx", "A 52538-2024")</f>
        <v/>
      </c>
      <c r="T37">
        <f>HYPERLINK("https://klasma.github.io/Logging_2417/kartor/A 52538-2024 karta.png", "A 52538-2024")</f>
        <v/>
      </c>
      <c r="V37">
        <f>HYPERLINK("https://klasma.github.io/Logging_2417/klagomål/A 52538-2024 FSC-klagomål.docx", "A 52538-2024")</f>
        <v/>
      </c>
      <c r="W37">
        <f>HYPERLINK("https://klasma.github.io/Logging_2417/klagomålsmail/A 52538-2024 FSC-klagomål mail.docx", "A 52538-2024")</f>
        <v/>
      </c>
      <c r="X37">
        <f>HYPERLINK("https://klasma.github.io/Logging_2417/tillsyn/A 52538-2024 tillsynsbegäran.docx", "A 52538-2024")</f>
        <v/>
      </c>
      <c r="Y37">
        <f>HYPERLINK("https://klasma.github.io/Logging_2417/tillsynsmail/A 52538-2024 tillsynsbegäran mail.docx", "A 52538-2024")</f>
        <v/>
      </c>
    </row>
    <row r="38" ht="15" customHeight="1">
      <c r="A38" t="inlineStr">
        <is>
          <t>A 20337-2019</t>
        </is>
      </c>
      <c r="B38" s="1" t="n">
        <v>43570</v>
      </c>
      <c r="C38" s="1" t="n">
        <v>45847</v>
      </c>
      <c r="D38" t="inlineStr">
        <is>
          <t>VÄSTERBOTTENS LÄN</t>
        </is>
      </c>
      <c r="E38" t="inlineStr">
        <is>
          <t>NORSJÖ</t>
        </is>
      </c>
      <c r="G38" t="n">
        <v>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Dvärgbägarlav</t>
        </is>
      </c>
      <c r="S38">
        <f>HYPERLINK("https://klasma.github.io/Logging_2417/artfynd/A 20337-2019 artfynd.xlsx", "A 20337-2019")</f>
        <v/>
      </c>
      <c r="T38">
        <f>HYPERLINK("https://klasma.github.io/Logging_2417/kartor/A 20337-2019 karta.png", "A 20337-2019")</f>
        <v/>
      </c>
      <c r="V38">
        <f>HYPERLINK("https://klasma.github.io/Logging_2417/klagomål/A 20337-2019 FSC-klagomål.docx", "A 20337-2019")</f>
        <v/>
      </c>
      <c r="W38">
        <f>HYPERLINK("https://klasma.github.io/Logging_2417/klagomålsmail/A 20337-2019 FSC-klagomål mail.docx", "A 20337-2019")</f>
        <v/>
      </c>
      <c r="X38">
        <f>HYPERLINK("https://klasma.github.io/Logging_2417/tillsyn/A 20337-2019 tillsynsbegäran.docx", "A 20337-2019")</f>
        <v/>
      </c>
      <c r="Y38">
        <f>HYPERLINK("https://klasma.github.io/Logging_2417/tillsynsmail/A 20337-2019 tillsynsbegäran mail.docx", "A 20337-2019")</f>
        <v/>
      </c>
    </row>
    <row r="39" ht="15" customHeight="1">
      <c r="A39" t="inlineStr">
        <is>
          <t>A 61542-2019</t>
        </is>
      </c>
      <c r="B39" s="1" t="n">
        <v>43784</v>
      </c>
      <c r="C39" s="1" t="n">
        <v>45847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31.1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HYPERLINK("https://klasma.github.io/Logging_2417/artfynd/A 61542-2019 artfynd.xlsx", "A 61542-2019")</f>
        <v/>
      </c>
      <c r="T39">
        <f>HYPERLINK("https://klasma.github.io/Logging_2417/kartor/A 61542-2019 karta.png", "A 61542-2019")</f>
        <v/>
      </c>
      <c r="V39">
        <f>HYPERLINK("https://klasma.github.io/Logging_2417/klagomål/A 61542-2019 FSC-klagomål.docx", "A 61542-2019")</f>
        <v/>
      </c>
      <c r="W39">
        <f>HYPERLINK("https://klasma.github.io/Logging_2417/klagomålsmail/A 61542-2019 FSC-klagomål mail.docx", "A 61542-2019")</f>
        <v/>
      </c>
      <c r="X39">
        <f>HYPERLINK("https://klasma.github.io/Logging_2417/tillsyn/A 61542-2019 tillsynsbegäran.docx", "A 61542-2019")</f>
        <v/>
      </c>
      <c r="Y39">
        <f>HYPERLINK("https://klasma.github.io/Logging_2417/tillsynsmail/A 61542-2019 tillsynsbegäran mail.docx", "A 61542-2019")</f>
        <v/>
      </c>
    </row>
    <row r="40" ht="15" customHeight="1">
      <c r="A40" t="inlineStr">
        <is>
          <t>A 5772-2020</t>
        </is>
      </c>
      <c r="B40" s="1" t="n">
        <v>43864</v>
      </c>
      <c r="C40" s="1" t="n">
        <v>45847</v>
      </c>
      <c r="D40" t="inlineStr">
        <is>
          <t>VÄSTERBOTTENS LÄN</t>
        </is>
      </c>
      <c r="E40" t="inlineStr">
        <is>
          <t>NORSJÖ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HYPERLINK("https://klasma.github.io/Logging_2417/artfynd/A 5772-2020 artfynd.xlsx", "A 5772-2020")</f>
        <v/>
      </c>
      <c r="T40">
        <f>HYPERLINK("https://klasma.github.io/Logging_2417/kartor/A 5772-2020 karta.png", "A 5772-2020")</f>
        <v/>
      </c>
      <c r="V40">
        <f>HYPERLINK("https://klasma.github.io/Logging_2417/klagomål/A 5772-2020 FSC-klagomål.docx", "A 5772-2020")</f>
        <v/>
      </c>
      <c r="W40">
        <f>HYPERLINK("https://klasma.github.io/Logging_2417/klagomålsmail/A 5772-2020 FSC-klagomål mail.docx", "A 5772-2020")</f>
        <v/>
      </c>
      <c r="X40">
        <f>HYPERLINK("https://klasma.github.io/Logging_2417/tillsyn/A 5772-2020 tillsynsbegäran.docx", "A 5772-2020")</f>
        <v/>
      </c>
      <c r="Y40">
        <f>HYPERLINK("https://klasma.github.io/Logging_2417/tillsynsmail/A 5772-2020 tillsynsbegäran mail.docx", "A 5772-2020")</f>
        <v/>
      </c>
      <c r="Z40">
        <f>HYPERLINK("https://klasma.github.io/Logging_2417/fåglar/A 5772-2020 prioriterade fågelarter.docx", "A 5772-2020")</f>
        <v/>
      </c>
    </row>
    <row r="41" ht="15" customHeight="1">
      <c r="A41" t="inlineStr">
        <is>
          <t>A 59120-2020</t>
        </is>
      </c>
      <c r="B41" s="1" t="n">
        <v>44147</v>
      </c>
      <c r="C41" s="1" t="n">
        <v>45847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19.6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HYPERLINK("https://klasma.github.io/Logging_2417/artfynd/A 59120-2020 artfynd.xlsx", "A 59120-2020")</f>
        <v/>
      </c>
      <c r="T41">
        <f>HYPERLINK("https://klasma.github.io/Logging_2417/kartor/A 59120-2020 karta.png", "A 59120-2020")</f>
        <v/>
      </c>
      <c r="V41">
        <f>HYPERLINK("https://klasma.github.io/Logging_2417/klagomål/A 59120-2020 FSC-klagomål.docx", "A 59120-2020")</f>
        <v/>
      </c>
      <c r="W41">
        <f>HYPERLINK("https://klasma.github.io/Logging_2417/klagomålsmail/A 59120-2020 FSC-klagomål mail.docx", "A 59120-2020")</f>
        <v/>
      </c>
      <c r="X41">
        <f>HYPERLINK("https://klasma.github.io/Logging_2417/tillsyn/A 59120-2020 tillsynsbegäran.docx", "A 59120-2020")</f>
        <v/>
      </c>
      <c r="Y41">
        <f>HYPERLINK("https://klasma.github.io/Logging_2417/tillsynsmail/A 59120-2020 tillsynsbegäran mail.docx", "A 59120-2020")</f>
        <v/>
      </c>
    </row>
    <row r="42" ht="15" customHeight="1">
      <c r="A42" t="inlineStr">
        <is>
          <t>A 62699-2020</t>
        </is>
      </c>
      <c r="B42" s="1" t="n">
        <v>44161</v>
      </c>
      <c r="C42" s="1" t="n">
        <v>45847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HYPERLINK("https://klasma.github.io/Logging_2417/artfynd/A 62699-2020 artfynd.xlsx", "A 62699-2020")</f>
        <v/>
      </c>
      <c r="T42">
        <f>HYPERLINK("https://klasma.github.io/Logging_2417/kartor/A 62699-2020 karta.png", "A 62699-2020")</f>
        <v/>
      </c>
      <c r="V42">
        <f>HYPERLINK("https://klasma.github.io/Logging_2417/klagomål/A 62699-2020 FSC-klagomål.docx", "A 62699-2020")</f>
        <v/>
      </c>
      <c r="W42">
        <f>HYPERLINK("https://klasma.github.io/Logging_2417/klagomålsmail/A 62699-2020 FSC-klagomål mail.docx", "A 62699-2020")</f>
        <v/>
      </c>
      <c r="X42">
        <f>HYPERLINK("https://klasma.github.io/Logging_2417/tillsyn/A 62699-2020 tillsynsbegäran.docx", "A 62699-2020")</f>
        <v/>
      </c>
      <c r="Y42">
        <f>HYPERLINK("https://klasma.github.io/Logging_2417/tillsynsmail/A 62699-2020 tillsynsbegäran mail.docx", "A 62699-2020")</f>
        <v/>
      </c>
    </row>
    <row r="43" ht="15" customHeight="1">
      <c r="A43" t="inlineStr">
        <is>
          <t>A 51640-2021</t>
        </is>
      </c>
      <c r="B43" s="1" t="n">
        <v>44462</v>
      </c>
      <c r="C43" s="1" t="n">
        <v>45847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HYPERLINK("https://klasma.github.io/Logging_2417/artfynd/A 51640-2021 artfynd.xlsx", "A 51640-2021")</f>
        <v/>
      </c>
      <c r="T43">
        <f>HYPERLINK("https://klasma.github.io/Logging_2417/kartor/A 51640-2021 karta.png", "A 51640-2021")</f>
        <v/>
      </c>
      <c r="V43">
        <f>HYPERLINK("https://klasma.github.io/Logging_2417/klagomål/A 51640-2021 FSC-klagomål.docx", "A 51640-2021")</f>
        <v/>
      </c>
      <c r="W43">
        <f>HYPERLINK("https://klasma.github.io/Logging_2417/klagomålsmail/A 51640-2021 FSC-klagomål mail.docx", "A 51640-2021")</f>
        <v/>
      </c>
      <c r="X43">
        <f>HYPERLINK("https://klasma.github.io/Logging_2417/tillsyn/A 51640-2021 tillsynsbegäran.docx", "A 51640-2021")</f>
        <v/>
      </c>
      <c r="Y43">
        <f>HYPERLINK("https://klasma.github.io/Logging_2417/tillsynsmail/A 51640-2021 tillsynsbegäran mail.docx", "A 51640-2021")</f>
        <v/>
      </c>
    </row>
    <row r="44" ht="15" customHeight="1">
      <c r="A44" t="inlineStr">
        <is>
          <t>A 50521-2023</t>
        </is>
      </c>
      <c r="B44" s="1" t="n">
        <v>45217</v>
      </c>
      <c r="C44" s="1" t="n">
        <v>45847</v>
      </c>
      <c r="D44" t="inlineStr">
        <is>
          <t>VÄSTERBOTTENS LÄN</t>
        </is>
      </c>
      <c r="E44" t="inlineStr">
        <is>
          <t>NORSJÖ</t>
        </is>
      </c>
      <c r="F44" t="inlineStr">
        <is>
          <t>SCA</t>
        </is>
      </c>
      <c r="G44" t="n">
        <v>11.9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50521-2023 artfynd.xlsx", "A 50521-2023")</f>
        <v/>
      </c>
      <c r="T44">
        <f>HYPERLINK("https://klasma.github.io/Logging_2417/kartor/A 50521-2023 karta.png", "A 50521-2023")</f>
        <v/>
      </c>
      <c r="V44">
        <f>HYPERLINK("https://klasma.github.io/Logging_2417/klagomål/A 50521-2023 FSC-klagomål.docx", "A 50521-2023")</f>
        <v/>
      </c>
      <c r="W44">
        <f>HYPERLINK("https://klasma.github.io/Logging_2417/klagomålsmail/A 50521-2023 FSC-klagomål mail.docx", "A 50521-2023")</f>
        <v/>
      </c>
      <c r="X44">
        <f>HYPERLINK("https://klasma.github.io/Logging_2417/tillsyn/A 50521-2023 tillsynsbegäran.docx", "A 50521-2023")</f>
        <v/>
      </c>
      <c r="Y44">
        <f>HYPERLINK("https://klasma.github.io/Logging_2417/tillsynsmail/A 50521-2023 tillsynsbegäran mail.docx", "A 50521-2023")</f>
        <v/>
      </c>
    </row>
    <row r="45" ht="15" customHeight="1">
      <c r="A45" t="inlineStr">
        <is>
          <t>A 62598-2023</t>
        </is>
      </c>
      <c r="B45" s="1" t="n">
        <v>45271</v>
      </c>
      <c r="C45" s="1" t="n">
        <v>45847</v>
      </c>
      <c r="D45" t="inlineStr">
        <is>
          <t>VÄSTERBOTTENS LÄN</t>
        </is>
      </c>
      <c r="E45" t="inlineStr">
        <is>
          <t>NORSJÖ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HYPERLINK("https://klasma.github.io/Logging_2417/artfynd/A 62598-2023 artfynd.xlsx", "A 62598-2023")</f>
        <v/>
      </c>
      <c r="T45">
        <f>HYPERLINK("https://klasma.github.io/Logging_2417/kartor/A 62598-2023 karta.png", "A 62598-2023")</f>
        <v/>
      </c>
      <c r="V45">
        <f>HYPERLINK("https://klasma.github.io/Logging_2417/klagomål/A 62598-2023 FSC-klagomål.docx", "A 62598-2023")</f>
        <v/>
      </c>
      <c r="W45">
        <f>HYPERLINK("https://klasma.github.io/Logging_2417/klagomålsmail/A 62598-2023 FSC-klagomål mail.docx", "A 62598-2023")</f>
        <v/>
      </c>
      <c r="X45">
        <f>HYPERLINK("https://klasma.github.io/Logging_2417/tillsyn/A 62598-2023 tillsynsbegäran.docx", "A 62598-2023")</f>
        <v/>
      </c>
      <c r="Y45">
        <f>HYPERLINK("https://klasma.github.io/Logging_2417/tillsynsmail/A 62598-2023 tillsynsbegäran mail.docx", "A 62598-2023")</f>
        <v/>
      </c>
      <c r="Z45">
        <f>HYPERLINK("https://klasma.github.io/Logging_2417/fåglar/A 62598-2023 prioriterade fågelarter.docx", "A 62598-2023")</f>
        <v/>
      </c>
    </row>
    <row r="46" ht="15" customHeight="1">
      <c r="A46" t="inlineStr">
        <is>
          <t>A 8159-2024</t>
        </is>
      </c>
      <c r="B46" s="1" t="n">
        <v>45351</v>
      </c>
      <c r="C46" s="1" t="n">
        <v>45847</v>
      </c>
      <c r="D46" t="inlineStr">
        <is>
          <t>VÄSTERBOTTENS LÄN</t>
        </is>
      </c>
      <c r="E46" t="inlineStr">
        <is>
          <t>NORSJÖ</t>
        </is>
      </c>
      <c r="G46" t="n">
        <v>20.4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8159-2024 artfynd.xlsx", "A 8159-2024")</f>
        <v/>
      </c>
      <c r="T46">
        <f>HYPERLINK("https://klasma.github.io/Logging_2417/kartor/A 8159-2024 karta.png", "A 8159-2024")</f>
        <v/>
      </c>
      <c r="V46">
        <f>HYPERLINK("https://klasma.github.io/Logging_2417/klagomål/A 8159-2024 FSC-klagomål.docx", "A 8159-2024")</f>
        <v/>
      </c>
      <c r="W46">
        <f>HYPERLINK("https://klasma.github.io/Logging_2417/klagomålsmail/A 8159-2024 FSC-klagomål mail.docx", "A 8159-2024")</f>
        <v/>
      </c>
      <c r="X46">
        <f>HYPERLINK("https://klasma.github.io/Logging_2417/tillsyn/A 8159-2024 tillsynsbegäran.docx", "A 8159-2024")</f>
        <v/>
      </c>
      <c r="Y46">
        <f>HYPERLINK("https://klasma.github.io/Logging_2417/tillsynsmail/A 8159-2024 tillsynsbegäran mail.docx", "A 8159-2024")</f>
        <v/>
      </c>
    </row>
    <row r="47" ht="15" customHeight="1">
      <c r="A47" t="inlineStr">
        <is>
          <t>A 23295-2024</t>
        </is>
      </c>
      <c r="B47" s="1" t="n">
        <v>45453</v>
      </c>
      <c r="C47" s="1" t="n">
        <v>45847</v>
      </c>
      <c r="D47" t="inlineStr">
        <is>
          <t>VÄSTERBOTTENS LÄN</t>
        </is>
      </c>
      <c r="E47" t="inlineStr">
        <is>
          <t>NORSJÖ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HYPERLINK("https://klasma.github.io/Logging_2417/artfynd/A 23295-2024 artfynd.xlsx", "A 23295-2024")</f>
        <v/>
      </c>
      <c r="T47">
        <f>HYPERLINK("https://klasma.github.io/Logging_2417/kartor/A 23295-2024 karta.png", "A 23295-2024")</f>
        <v/>
      </c>
      <c r="V47">
        <f>HYPERLINK("https://klasma.github.io/Logging_2417/klagomål/A 23295-2024 FSC-klagomål.docx", "A 23295-2024")</f>
        <v/>
      </c>
      <c r="W47">
        <f>HYPERLINK("https://klasma.github.io/Logging_2417/klagomålsmail/A 23295-2024 FSC-klagomål mail.docx", "A 23295-2024")</f>
        <v/>
      </c>
      <c r="X47">
        <f>HYPERLINK("https://klasma.github.io/Logging_2417/tillsyn/A 23295-2024 tillsynsbegäran.docx", "A 23295-2024")</f>
        <v/>
      </c>
      <c r="Y47">
        <f>HYPERLINK("https://klasma.github.io/Logging_2417/tillsynsmail/A 23295-2024 tillsynsbegäran mail.docx", "A 23295-2024")</f>
        <v/>
      </c>
      <c r="Z47">
        <f>HYPERLINK("https://klasma.github.io/Logging_2417/fåglar/A 23295-2024 prioriterade fågelarter.docx", "A 23295-2024")</f>
        <v/>
      </c>
    </row>
    <row r="48" ht="15" customHeight="1">
      <c r="A48" t="inlineStr">
        <is>
          <t>A 24856-2024</t>
        </is>
      </c>
      <c r="B48" s="1" t="n">
        <v>45461</v>
      </c>
      <c r="C48" s="1" t="n">
        <v>45847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HYPERLINK("https://klasma.github.io/Logging_2417/artfynd/A 24856-2024 artfynd.xlsx", "A 24856-2024")</f>
        <v/>
      </c>
      <c r="T48">
        <f>HYPERLINK("https://klasma.github.io/Logging_2417/kartor/A 24856-2024 karta.png", "A 24856-2024")</f>
        <v/>
      </c>
      <c r="V48">
        <f>HYPERLINK("https://klasma.github.io/Logging_2417/klagomål/A 24856-2024 FSC-klagomål.docx", "A 24856-2024")</f>
        <v/>
      </c>
      <c r="W48">
        <f>HYPERLINK("https://klasma.github.io/Logging_2417/klagomålsmail/A 24856-2024 FSC-klagomål mail.docx", "A 24856-2024")</f>
        <v/>
      </c>
      <c r="X48">
        <f>HYPERLINK("https://klasma.github.io/Logging_2417/tillsyn/A 24856-2024 tillsynsbegäran.docx", "A 24856-2024")</f>
        <v/>
      </c>
      <c r="Y48">
        <f>HYPERLINK("https://klasma.github.io/Logging_2417/tillsynsmail/A 24856-2024 tillsynsbegäran mail.docx", "A 24856-2024")</f>
        <v/>
      </c>
    </row>
    <row r="49" ht="15" customHeight="1">
      <c r="A49" t="inlineStr">
        <is>
          <t>A 26977-2024</t>
        </is>
      </c>
      <c r="B49" s="1" t="n">
        <v>45471</v>
      </c>
      <c r="C49" s="1" t="n">
        <v>45847</v>
      </c>
      <c r="D49" t="inlineStr">
        <is>
          <t>VÄSTERBOTTENS LÄN</t>
        </is>
      </c>
      <c r="E49" t="inlineStr">
        <is>
          <t>NORSJÖ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Bårdlav</t>
        </is>
      </c>
      <c r="S49">
        <f>HYPERLINK("https://klasma.github.io/Logging_2417/artfynd/A 26977-2024 artfynd.xlsx", "A 26977-2024")</f>
        <v/>
      </c>
      <c r="T49">
        <f>HYPERLINK("https://klasma.github.io/Logging_2417/kartor/A 26977-2024 karta.png", "A 26977-2024")</f>
        <v/>
      </c>
      <c r="V49">
        <f>HYPERLINK("https://klasma.github.io/Logging_2417/klagomål/A 26977-2024 FSC-klagomål.docx", "A 26977-2024")</f>
        <v/>
      </c>
      <c r="W49">
        <f>HYPERLINK("https://klasma.github.io/Logging_2417/klagomålsmail/A 26977-2024 FSC-klagomål mail.docx", "A 26977-2024")</f>
        <v/>
      </c>
      <c r="X49">
        <f>HYPERLINK("https://klasma.github.io/Logging_2417/tillsyn/A 26977-2024 tillsynsbegäran.docx", "A 26977-2024")</f>
        <v/>
      </c>
      <c r="Y49">
        <f>HYPERLINK("https://klasma.github.io/Logging_2417/tillsynsmail/A 26977-2024 tillsynsbegäran mail.docx", "A 26977-2024")</f>
        <v/>
      </c>
    </row>
    <row r="50" ht="15" customHeight="1">
      <c r="A50" t="inlineStr">
        <is>
          <t>A 33763-2024</t>
        </is>
      </c>
      <c r="B50" s="1" t="n">
        <v>45520</v>
      </c>
      <c r="C50" s="1" t="n">
        <v>45847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HYPERLINK("https://klasma.github.io/Logging_2417/artfynd/A 33763-2024 artfynd.xlsx", "A 33763-2024")</f>
        <v/>
      </c>
      <c r="T50">
        <f>HYPERLINK("https://klasma.github.io/Logging_2417/kartor/A 33763-2024 karta.png", "A 33763-2024")</f>
        <v/>
      </c>
      <c r="V50">
        <f>HYPERLINK("https://klasma.github.io/Logging_2417/klagomål/A 33763-2024 FSC-klagomål.docx", "A 33763-2024")</f>
        <v/>
      </c>
      <c r="W50">
        <f>HYPERLINK("https://klasma.github.io/Logging_2417/klagomålsmail/A 33763-2024 FSC-klagomål mail.docx", "A 33763-2024")</f>
        <v/>
      </c>
      <c r="X50">
        <f>HYPERLINK("https://klasma.github.io/Logging_2417/tillsyn/A 33763-2024 tillsynsbegäran.docx", "A 33763-2024")</f>
        <v/>
      </c>
      <c r="Y50">
        <f>HYPERLINK("https://klasma.github.io/Logging_2417/tillsynsmail/A 33763-2024 tillsynsbegäran mail.docx", "A 33763-2024")</f>
        <v/>
      </c>
    </row>
    <row r="51" ht="15" customHeight="1">
      <c r="A51" t="inlineStr">
        <is>
          <t>A 45438-2024</t>
        </is>
      </c>
      <c r="B51" s="1" t="n">
        <v>45576</v>
      </c>
      <c r="C51" s="1" t="n">
        <v>45847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45438-2024 artfynd.xlsx", "A 45438-2024")</f>
        <v/>
      </c>
      <c r="T51">
        <f>HYPERLINK("https://klasma.github.io/Logging_2417/kartor/A 45438-2024 karta.png", "A 45438-2024")</f>
        <v/>
      </c>
      <c r="V51">
        <f>HYPERLINK("https://klasma.github.io/Logging_2417/klagomål/A 45438-2024 FSC-klagomål.docx", "A 45438-2024")</f>
        <v/>
      </c>
      <c r="W51">
        <f>HYPERLINK("https://klasma.github.io/Logging_2417/klagomålsmail/A 45438-2024 FSC-klagomål mail.docx", "A 45438-2024")</f>
        <v/>
      </c>
      <c r="X51">
        <f>HYPERLINK("https://klasma.github.io/Logging_2417/tillsyn/A 45438-2024 tillsynsbegäran.docx", "A 45438-2024")</f>
        <v/>
      </c>
      <c r="Y51">
        <f>HYPERLINK("https://klasma.github.io/Logging_2417/tillsynsmail/A 45438-2024 tillsynsbegäran mail.docx", "A 45438-2024")</f>
        <v/>
      </c>
    </row>
    <row r="52" ht="15" customHeight="1">
      <c r="A52" t="inlineStr">
        <is>
          <t>A 46666-2024</t>
        </is>
      </c>
      <c r="B52" s="1" t="n">
        <v>45583</v>
      </c>
      <c r="C52" s="1" t="n">
        <v>45847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HYPERLINK("https://klasma.github.io/Logging_2417/artfynd/A 46666-2024 artfynd.xlsx", "A 46666-2024")</f>
        <v/>
      </c>
      <c r="T52">
        <f>HYPERLINK("https://klasma.github.io/Logging_2417/kartor/A 46666-2024 karta.png", "A 46666-2024")</f>
        <v/>
      </c>
      <c r="V52">
        <f>HYPERLINK("https://klasma.github.io/Logging_2417/klagomål/A 46666-2024 FSC-klagomål.docx", "A 46666-2024")</f>
        <v/>
      </c>
      <c r="W52">
        <f>HYPERLINK("https://klasma.github.io/Logging_2417/klagomålsmail/A 46666-2024 FSC-klagomål mail.docx", "A 46666-2024")</f>
        <v/>
      </c>
      <c r="X52">
        <f>HYPERLINK("https://klasma.github.io/Logging_2417/tillsyn/A 46666-2024 tillsynsbegäran.docx", "A 46666-2024")</f>
        <v/>
      </c>
      <c r="Y52">
        <f>HYPERLINK("https://klasma.github.io/Logging_2417/tillsynsmail/A 46666-2024 tillsynsbegäran mail.docx", "A 46666-2024")</f>
        <v/>
      </c>
    </row>
    <row r="53" ht="15" customHeight="1">
      <c r="A53" t="inlineStr">
        <is>
          <t>A 55328-2024</t>
        </is>
      </c>
      <c r="B53" s="1" t="n">
        <v>45621</v>
      </c>
      <c r="C53" s="1" t="n">
        <v>45847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55328-2024 artfynd.xlsx", "A 55328-2024")</f>
        <v/>
      </c>
      <c r="T53">
        <f>HYPERLINK("https://klasma.github.io/Logging_2417/kartor/A 55328-2024 karta.png", "A 55328-2024")</f>
        <v/>
      </c>
      <c r="V53">
        <f>HYPERLINK("https://klasma.github.io/Logging_2417/klagomål/A 55328-2024 FSC-klagomål.docx", "A 55328-2024")</f>
        <v/>
      </c>
      <c r="W53">
        <f>HYPERLINK("https://klasma.github.io/Logging_2417/klagomålsmail/A 55328-2024 FSC-klagomål mail.docx", "A 55328-2024")</f>
        <v/>
      </c>
      <c r="X53">
        <f>HYPERLINK("https://klasma.github.io/Logging_2417/tillsyn/A 55328-2024 tillsynsbegäran.docx", "A 55328-2024")</f>
        <v/>
      </c>
      <c r="Y53">
        <f>HYPERLINK("https://klasma.github.io/Logging_2417/tillsynsmail/A 55328-2024 tillsynsbegäran mail.docx", "A 55328-2024")</f>
        <v/>
      </c>
    </row>
    <row r="54" ht="15" customHeight="1">
      <c r="A54" t="inlineStr">
        <is>
          <t>A 55389-2024</t>
        </is>
      </c>
      <c r="B54" s="1" t="n">
        <v>45622</v>
      </c>
      <c r="C54" s="1" t="n">
        <v>45847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14.6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HYPERLINK("https://klasma.github.io/Logging_2417/artfynd/A 55389-2024 artfynd.xlsx", "A 55389-2024")</f>
        <v/>
      </c>
      <c r="T54">
        <f>HYPERLINK("https://klasma.github.io/Logging_2417/kartor/A 55389-2024 karta.png", "A 55389-2024")</f>
        <v/>
      </c>
      <c r="V54">
        <f>HYPERLINK("https://klasma.github.io/Logging_2417/klagomål/A 55389-2024 FSC-klagomål.docx", "A 55389-2024")</f>
        <v/>
      </c>
      <c r="W54">
        <f>HYPERLINK("https://klasma.github.io/Logging_2417/klagomålsmail/A 55389-2024 FSC-klagomål mail.docx", "A 55389-2024")</f>
        <v/>
      </c>
      <c r="X54">
        <f>HYPERLINK("https://klasma.github.io/Logging_2417/tillsyn/A 55389-2024 tillsynsbegäran.docx", "A 55389-2024")</f>
        <v/>
      </c>
      <c r="Y54">
        <f>HYPERLINK("https://klasma.github.io/Logging_2417/tillsynsmail/A 55389-2024 tillsynsbegäran mail.docx", "A 55389-2024")</f>
        <v/>
      </c>
    </row>
    <row r="55" ht="15" customHeight="1">
      <c r="A55" t="inlineStr">
        <is>
          <t>A 59767-2024</t>
        </is>
      </c>
      <c r="B55" s="1" t="n">
        <v>45639</v>
      </c>
      <c r="C55" s="1" t="n">
        <v>45847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HYPERLINK("https://klasma.github.io/Logging_2417/artfynd/A 59767-2024 artfynd.xlsx", "A 59767-2024")</f>
        <v/>
      </c>
      <c r="T55">
        <f>HYPERLINK("https://klasma.github.io/Logging_2417/kartor/A 59767-2024 karta.png", "A 59767-2024")</f>
        <v/>
      </c>
      <c r="V55">
        <f>HYPERLINK("https://klasma.github.io/Logging_2417/klagomål/A 59767-2024 FSC-klagomål.docx", "A 59767-2024")</f>
        <v/>
      </c>
      <c r="W55">
        <f>HYPERLINK("https://klasma.github.io/Logging_2417/klagomålsmail/A 59767-2024 FSC-klagomål mail.docx", "A 59767-2024")</f>
        <v/>
      </c>
      <c r="X55">
        <f>HYPERLINK("https://klasma.github.io/Logging_2417/tillsyn/A 59767-2024 tillsynsbegäran.docx", "A 59767-2024")</f>
        <v/>
      </c>
      <c r="Y55">
        <f>HYPERLINK("https://klasma.github.io/Logging_2417/tillsynsmail/A 59767-2024 tillsynsbegäran mail.docx", "A 59767-2024")</f>
        <v/>
      </c>
    </row>
    <row r="56" ht="15" customHeight="1">
      <c r="A56" t="inlineStr">
        <is>
          <t>A 31162-2025</t>
        </is>
      </c>
      <c r="B56" s="1" t="n">
        <v>45832</v>
      </c>
      <c r="C56" s="1" t="n">
        <v>45847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HYPERLINK("https://klasma.github.io/Logging_242417/artfynd/A 31162-2025 artfynd.xlsx", "A 31162-2025")</f>
        <v/>
      </c>
      <c r="T56">
        <f>HYPERLINK("https://klasma.github.io/Logging_242417/kartor/A 31162-2025 karta.png", "A 31162-2025")</f>
        <v/>
      </c>
      <c r="V56">
        <f>HYPERLINK("https://klasma.github.io/Logging_242417/klagomål/A 31162-2025 FSC-klagomål.docx", "A 31162-2025")</f>
        <v/>
      </c>
      <c r="W56">
        <f>HYPERLINK("https://klasma.github.io/Logging_242417/klagomålsmail/A 31162-2025 FSC-klagomål mail.docx", "A 31162-2025")</f>
        <v/>
      </c>
      <c r="X56">
        <f>HYPERLINK("https://klasma.github.io/Logging_242417/tillsyn/A 31162-2025 tillsynsbegäran.docx", "A 31162-2025")</f>
        <v/>
      </c>
      <c r="Y56">
        <f>HYPERLINK("https://klasma.github.io/Logging_242417/tillsynsmail/A 31162-2025 tillsynsbegäran mail.docx", "A 31162-2025")</f>
        <v/>
      </c>
    </row>
    <row r="57" ht="15" customHeight="1">
      <c r="A57" t="inlineStr">
        <is>
          <t>A 33030-2025</t>
        </is>
      </c>
      <c r="B57" s="1" t="n">
        <v>45840</v>
      </c>
      <c r="C57" s="1" t="n">
        <v>45847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24.2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HYPERLINK("https://klasma.github.io/Logging_242417/artfynd/A 33030-2025 artfynd.xlsx", "A 33030-2025")</f>
        <v/>
      </c>
      <c r="T57">
        <f>HYPERLINK("https://klasma.github.io/Logging_242417/kartor/A 33030-2025 karta.png", "A 33030-2025")</f>
        <v/>
      </c>
      <c r="V57">
        <f>HYPERLINK("https://klasma.github.io/Logging_242417/klagomål/A 33030-2025 FSC-klagomål.docx", "A 33030-2025")</f>
        <v/>
      </c>
      <c r="W57">
        <f>HYPERLINK("https://klasma.github.io/Logging_242417/klagomålsmail/A 33030-2025 FSC-klagomål mail.docx", "A 33030-2025")</f>
        <v/>
      </c>
      <c r="X57">
        <f>HYPERLINK("https://klasma.github.io/Logging_242417/tillsyn/A 33030-2025 tillsynsbegäran.docx", "A 33030-2025")</f>
        <v/>
      </c>
      <c r="Y57">
        <f>HYPERLINK("https://klasma.github.io/Logging_242417/tillsynsmail/A 33030-2025 tillsynsbegäran mail.docx", "A 33030-2025")</f>
        <v/>
      </c>
    </row>
    <row r="58" ht="15" customHeight="1">
      <c r="A58" t="inlineStr">
        <is>
          <t>A 18821-2019</t>
        </is>
      </c>
      <c r="B58" s="1" t="n">
        <v>43560</v>
      </c>
      <c r="C58" s="1" t="n">
        <v>45847</v>
      </c>
      <c r="D58" t="inlineStr">
        <is>
          <t>VÄSTERBOTTENS LÄN</t>
        </is>
      </c>
      <c r="E58" t="inlineStr">
        <is>
          <t>NORSJÖ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19007-2019</t>
        </is>
      </c>
      <c r="B59" s="1" t="n">
        <v>43563</v>
      </c>
      <c r="C59" s="1" t="n">
        <v>45847</v>
      </c>
      <c r="D59" t="inlineStr">
        <is>
          <t>VÄSTERBOTTENS LÄN</t>
        </is>
      </c>
      <c r="E59" t="inlineStr">
        <is>
          <t>NORSJÖ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20336-2019</t>
        </is>
      </c>
      <c r="B60" s="1" t="n">
        <v>43570</v>
      </c>
      <c r="C60" s="1" t="n">
        <v>45847</v>
      </c>
      <c r="D60" t="inlineStr">
        <is>
          <t>VÄSTERBOTTENS LÄN</t>
        </is>
      </c>
      <c r="E60" t="inlineStr">
        <is>
          <t>NORSJÖ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20431-2019</t>
        </is>
      </c>
      <c r="B61" s="1" t="n">
        <v>43571</v>
      </c>
      <c r="C61" s="1" t="n">
        <v>45847</v>
      </c>
      <c r="D61" t="inlineStr">
        <is>
          <t>VÄSTERBOTTENS LÄN</t>
        </is>
      </c>
      <c r="E61" t="inlineStr">
        <is>
          <t>NORSJÖ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21352-2019</t>
        </is>
      </c>
      <c r="B62" s="1" t="n">
        <v>43579</v>
      </c>
      <c r="C62" s="1" t="n">
        <v>45847</v>
      </c>
      <c r="D62" t="inlineStr">
        <is>
          <t>VÄSTERBOTTENS LÄN</t>
        </is>
      </c>
      <c r="E62" t="inlineStr">
        <is>
          <t>NORSJÖ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21832-2019</t>
        </is>
      </c>
      <c r="B63" s="1" t="n">
        <v>43581</v>
      </c>
      <c r="C63" s="1" t="n">
        <v>45847</v>
      </c>
      <c r="D63" t="inlineStr">
        <is>
          <t>VÄSTERBOTTENS LÄN</t>
        </is>
      </c>
      <c r="E63" t="inlineStr">
        <is>
          <t>NORSJÖ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26104-2019</t>
        </is>
      </c>
      <c r="B64" s="1" t="n">
        <v>43605</v>
      </c>
      <c r="C64" s="1" t="n">
        <v>45847</v>
      </c>
      <c r="D64" t="inlineStr">
        <is>
          <t>VÄSTERBOTTENS LÄN</t>
        </is>
      </c>
      <c r="E64" t="inlineStr">
        <is>
          <t>NORSJÖ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26523-2019</t>
        </is>
      </c>
      <c r="B65" s="1" t="n">
        <v>43612</v>
      </c>
      <c r="C65" s="1" t="n">
        <v>45847</v>
      </c>
      <c r="D65" t="inlineStr">
        <is>
          <t>VÄSTERBOTTENS LÄN</t>
        </is>
      </c>
      <c r="E65" t="inlineStr">
        <is>
          <t>NORSJÖ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26513-2019</t>
        </is>
      </c>
      <c r="B66" s="1" t="n">
        <v>43612</v>
      </c>
      <c r="C66" s="1" t="n">
        <v>45847</v>
      </c>
      <c r="D66" t="inlineStr">
        <is>
          <t>VÄSTERBOTTENS LÄN</t>
        </is>
      </c>
      <c r="E66" t="inlineStr">
        <is>
          <t>NORSJÖ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28300-2019</t>
        </is>
      </c>
      <c r="B67" s="1" t="n">
        <v>43623</v>
      </c>
      <c r="C67" s="1" t="n">
        <v>45847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28571-2019</t>
        </is>
      </c>
      <c r="B68" s="1" t="n">
        <v>43626</v>
      </c>
      <c r="C68" s="1" t="n">
        <v>45847</v>
      </c>
      <c r="D68" t="inlineStr">
        <is>
          <t>VÄSTERBOTTENS LÄN</t>
        </is>
      </c>
      <c r="E68" t="inlineStr">
        <is>
          <t>NORSJÖ</t>
        </is>
      </c>
      <c r="G68" t="n">
        <v>16.6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28573-2019</t>
        </is>
      </c>
      <c r="B69" s="1" t="n">
        <v>43626</v>
      </c>
      <c r="C69" s="1" t="n">
        <v>45847</v>
      </c>
      <c r="D69" t="inlineStr">
        <is>
          <t>VÄSTERBOTTENS LÄN</t>
        </is>
      </c>
      <c r="E69" t="inlineStr">
        <is>
          <t>NORSJÖ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32433-2019</t>
        </is>
      </c>
      <c r="B70" s="1" t="n">
        <v>43644</v>
      </c>
      <c r="C70" s="1" t="n">
        <v>45847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33372-2019</t>
        </is>
      </c>
      <c r="B71" s="1" t="n">
        <v>43644</v>
      </c>
      <c r="C71" s="1" t="n">
        <v>45847</v>
      </c>
      <c r="D71" t="inlineStr">
        <is>
          <t>VÄSTERBOTTENS LÄN</t>
        </is>
      </c>
      <c r="E71" t="inlineStr">
        <is>
          <t>NORSJÖ</t>
        </is>
      </c>
      <c r="G71" t="n">
        <v>16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34724-2019</t>
        </is>
      </c>
      <c r="B72" s="1" t="n">
        <v>43648</v>
      </c>
      <c r="C72" s="1" t="n">
        <v>45847</v>
      </c>
      <c r="D72" t="inlineStr">
        <is>
          <t>VÄSTERBOTTENS LÄN</t>
        </is>
      </c>
      <c r="E72" t="inlineStr">
        <is>
          <t>NORSJÖ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32977-2019</t>
        </is>
      </c>
      <c r="B73" s="1" t="n">
        <v>43648</v>
      </c>
      <c r="C73" s="1" t="n">
        <v>45847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33009-2019</t>
        </is>
      </c>
      <c r="B74" s="1" t="n">
        <v>43649</v>
      </c>
      <c r="C74" s="1" t="n">
        <v>45847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33484-2019</t>
        </is>
      </c>
      <c r="B75" s="1" t="n">
        <v>43650</v>
      </c>
      <c r="C75" s="1" t="n">
        <v>45847</v>
      </c>
      <c r="D75" t="inlineStr">
        <is>
          <t>VÄSTERBOTTENS LÄN</t>
        </is>
      </c>
      <c r="E75" t="inlineStr">
        <is>
          <t>NORSJÖ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33483-2019</t>
        </is>
      </c>
      <c r="B76" s="1" t="n">
        <v>43651</v>
      </c>
      <c r="C76" s="1" t="n">
        <v>45847</v>
      </c>
      <c r="D76" t="inlineStr">
        <is>
          <t>VÄSTERBOTTENS LÄN</t>
        </is>
      </c>
      <c r="E76" t="inlineStr">
        <is>
          <t>NORSJÖ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39100-2019</t>
        </is>
      </c>
      <c r="B77" s="1" t="n">
        <v>43689</v>
      </c>
      <c r="C77" s="1" t="n">
        <v>45847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39889-2019</t>
        </is>
      </c>
      <c r="B78" s="1" t="n">
        <v>43689</v>
      </c>
      <c r="C78" s="1" t="n">
        <v>45847</v>
      </c>
      <c r="D78" t="inlineStr">
        <is>
          <t>VÄSTERBOTTENS LÄN</t>
        </is>
      </c>
      <c r="E78" t="inlineStr">
        <is>
          <t>NORSJÖ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40612-2019</t>
        </is>
      </c>
      <c r="B79" s="1" t="n">
        <v>43696</v>
      </c>
      <c r="C79" s="1" t="n">
        <v>45847</v>
      </c>
      <c r="D79" t="inlineStr">
        <is>
          <t>VÄSTERBOTTENS LÄN</t>
        </is>
      </c>
      <c r="E79" t="inlineStr">
        <is>
          <t>NORSJÖ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40609-2019</t>
        </is>
      </c>
      <c r="B80" s="1" t="n">
        <v>43696</v>
      </c>
      <c r="C80" s="1" t="n">
        <v>45847</v>
      </c>
      <c r="D80" t="inlineStr">
        <is>
          <t>VÄSTERBOTTENS LÄN</t>
        </is>
      </c>
      <c r="E80" t="inlineStr">
        <is>
          <t>NORSJÖ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43469-2019</t>
        </is>
      </c>
      <c r="B81" s="1" t="n">
        <v>43703</v>
      </c>
      <c r="C81" s="1" t="n">
        <v>45847</v>
      </c>
      <c r="D81" t="inlineStr">
        <is>
          <t>VÄSTERBOTTENS LÄN</t>
        </is>
      </c>
      <c r="E81" t="inlineStr">
        <is>
          <t>NORSJÖ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50782-2019</t>
        </is>
      </c>
      <c r="B82" s="1" t="n">
        <v>43738</v>
      </c>
      <c r="C82" s="1" t="n">
        <v>45847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52767-2019</t>
        </is>
      </c>
      <c r="B83" s="1" t="n">
        <v>43739</v>
      </c>
      <c r="C83" s="1" t="n">
        <v>45847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53061-2019</t>
        </is>
      </c>
      <c r="B84" s="1" t="n">
        <v>43739</v>
      </c>
      <c r="C84" s="1" t="n">
        <v>45847</v>
      </c>
      <c r="D84" t="inlineStr">
        <is>
          <t>VÄSTERBOTTENS LÄN</t>
        </is>
      </c>
      <c r="E84" t="inlineStr">
        <is>
          <t>NORSJÖ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55507-2019</t>
        </is>
      </c>
      <c r="B85" s="1" t="n">
        <v>43755</v>
      </c>
      <c r="C85" s="1" t="n">
        <v>45847</v>
      </c>
      <c r="D85" t="inlineStr">
        <is>
          <t>VÄSTERBOTTENS LÄN</t>
        </is>
      </c>
      <c r="E85" t="inlineStr">
        <is>
          <t>NORSJÖ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57652-2019</t>
        </is>
      </c>
      <c r="B86" s="1" t="n">
        <v>43761</v>
      </c>
      <c r="C86" s="1" t="n">
        <v>45847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57046-2019</t>
        </is>
      </c>
      <c r="B87" s="1" t="n">
        <v>43766</v>
      </c>
      <c r="C87" s="1" t="n">
        <v>45847</v>
      </c>
      <c r="D87" t="inlineStr">
        <is>
          <t>VÄSTERBOTTENS LÄN</t>
        </is>
      </c>
      <c r="E87" t="inlineStr">
        <is>
          <t>NORSJÖ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58541-2019</t>
        </is>
      </c>
      <c r="B88" s="1" t="n">
        <v>43766</v>
      </c>
      <c r="C88" s="1" t="n">
        <v>45847</v>
      </c>
      <c r="D88" t="inlineStr">
        <is>
          <t>VÄSTERBOTTENS LÄN</t>
        </is>
      </c>
      <c r="E88" t="inlineStr">
        <is>
          <t>NORSJÖ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59546-2019</t>
        </is>
      </c>
      <c r="B89" s="1" t="n">
        <v>43773</v>
      </c>
      <c r="C89" s="1" t="n">
        <v>45847</v>
      </c>
      <c r="D89" t="inlineStr">
        <is>
          <t>VÄSTERBOTTENS LÄN</t>
        </is>
      </c>
      <c r="E89" t="inlineStr">
        <is>
          <t>NORSJÖ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58891-2019</t>
        </is>
      </c>
      <c r="B90" s="1" t="n">
        <v>43774</v>
      </c>
      <c r="C90" s="1" t="n">
        <v>45847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58890-2019</t>
        </is>
      </c>
      <c r="B91" s="1" t="n">
        <v>43774</v>
      </c>
      <c r="C91" s="1" t="n">
        <v>45847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58893-2019</t>
        </is>
      </c>
      <c r="B92" s="1" t="n">
        <v>43774</v>
      </c>
      <c r="C92" s="1" t="n">
        <v>45847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60265-2019</t>
        </is>
      </c>
      <c r="B93" s="1" t="n">
        <v>43780</v>
      </c>
      <c r="C93" s="1" t="n">
        <v>45847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62124-2019</t>
        </is>
      </c>
      <c r="B94" s="1" t="n">
        <v>43787</v>
      </c>
      <c r="C94" s="1" t="n">
        <v>45847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692-2020</t>
        </is>
      </c>
      <c r="B95" s="1" t="n">
        <v>43817</v>
      </c>
      <c r="C95" s="1" t="n">
        <v>45847</v>
      </c>
      <c r="D95" t="inlineStr">
        <is>
          <t>VÄSTERBOTTENS LÄN</t>
        </is>
      </c>
      <c r="E95" t="inlineStr">
        <is>
          <t>NORSJÖ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1854-2020</t>
        </is>
      </c>
      <c r="B96" s="1" t="n">
        <v>43844</v>
      </c>
      <c r="C96" s="1" t="n">
        <v>45847</v>
      </c>
      <c r="D96" t="inlineStr">
        <is>
          <t>VÄSTERBOTTENS LÄN</t>
        </is>
      </c>
      <c r="E96" t="inlineStr">
        <is>
          <t>NORSJÖ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3293-2020</t>
        </is>
      </c>
      <c r="B97" s="1" t="n">
        <v>43852</v>
      </c>
      <c r="C97" s="1" t="n">
        <v>45847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3237-2020</t>
        </is>
      </c>
      <c r="B98" s="1" t="n">
        <v>43852</v>
      </c>
      <c r="C98" s="1" t="n">
        <v>45847</v>
      </c>
      <c r="D98" t="inlineStr">
        <is>
          <t>VÄSTERBOTTENS LÄN</t>
        </is>
      </c>
      <c r="E98" t="inlineStr">
        <is>
          <t>NORSJÖ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6998-2020</t>
        </is>
      </c>
      <c r="B99" s="1" t="n">
        <v>43866</v>
      </c>
      <c r="C99" s="1" t="n">
        <v>45847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7001-2020</t>
        </is>
      </c>
      <c r="B100" s="1" t="n">
        <v>43866</v>
      </c>
      <c r="C100" s="1" t="n">
        <v>45847</v>
      </c>
      <c r="D100" t="inlineStr">
        <is>
          <t>VÄSTERBOTTENS LÄN</t>
        </is>
      </c>
      <c r="E100" t="inlineStr">
        <is>
          <t>NORSJÖ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7742-2020</t>
        </is>
      </c>
      <c r="B101" s="1" t="n">
        <v>43872</v>
      </c>
      <c r="C101" s="1" t="n">
        <v>45847</v>
      </c>
      <c r="D101" t="inlineStr">
        <is>
          <t>VÄSTERBOTTENS LÄN</t>
        </is>
      </c>
      <c r="E101" t="inlineStr">
        <is>
          <t>NORSJÖ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11058-2020</t>
        </is>
      </c>
      <c r="B102" s="1" t="n">
        <v>43886</v>
      </c>
      <c r="C102" s="1" t="n">
        <v>45847</v>
      </c>
      <c r="D102" t="inlineStr">
        <is>
          <t>VÄSTERBOTTENS LÄN</t>
        </is>
      </c>
      <c r="E102" t="inlineStr">
        <is>
          <t>NORSJÖ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14882-2020</t>
        </is>
      </c>
      <c r="B103" s="1" t="n">
        <v>43906</v>
      </c>
      <c r="C103" s="1" t="n">
        <v>45847</v>
      </c>
      <c r="D103" t="inlineStr">
        <is>
          <t>VÄSTERBOTTENS LÄN</t>
        </is>
      </c>
      <c r="E103" t="inlineStr">
        <is>
          <t>NORSJÖ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18540-2020</t>
        </is>
      </c>
      <c r="B104" s="1" t="n">
        <v>43927</v>
      </c>
      <c r="C104" s="1" t="n">
        <v>45847</v>
      </c>
      <c r="D104" t="inlineStr">
        <is>
          <t>VÄSTERBOTTENS LÄN</t>
        </is>
      </c>
      <c r="E104" t="inlineStr">
        <is>
          <t>NORSJÖ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18536-2020</t>
        </is>
      </c>
      <c r="B105" s="1" t="n">
        <v>43927</v>
      </c>
      <c r="C105" s="1" t="n">
        <v>45847</v>
      </c>
      <c r="D105" t="inlineStr">
        <is>
          <t>VÄSTERBOTTENS LÄN</t>
        </is>
      </c>
      <c r="E105" t="inlineStr">
        <is>
          <t>NORSJÖ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23431-2020</t>
        </is>
      </c>
      <c r="B106" s="1" t="n">
        <v>43966</v>
      </c>
      <c r="C106" s="1" t="n">
        <v>45847</v>
      </c>
      <c r="D106" t="inlineStr">
        <is>
          <t>VÄSTERBOTTENS LÄN</t>
        </is>
      </c>
      <c r="E106" t="inlineStr">
        <is>
          <t>NORSJÖ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26433-2020</t>
        </is>
      </c>
      <c r="B107" s="1" t="n">
        <v>43987</v>
      </c>
      <c r="C107" s="1" t="n">
        <v>45847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27545-2020</t>
        </is>
      </c>
      <c r="B108" s="1" t="n">
        <v>43993</v>
      </c>
      <c r="C108" s="1" t="n">
        <v>45847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27792-2020</t>
        </is>
      </c>
      <c r="B109" s="1" t="n">
        <v>43994</v>
      </c>
      <c r="C109" s="1" t="n">
        <v>45847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28265-2020</t>
        </is>
      </c>
      <c r="B110" s="1" t="n">
        <v>43998</v>
      </c>
      <c r="C110" s="1" t="n">
        <v>45847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28345-2020</t>
        </is>
      </c>
      <c r="B111" s="1" t="n">
        <v>43998</v>
      </c>
      <c r="C111" s="1" t="n">
        <v>45847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28991-2020</t>
        </is>
      </c>
      <c r="B112" s="1" t="n">
        <v>44000</v>
      </c>
      <c r="C112" s="1" t="n">
        <v>45847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29805-2020</t>
        </is>
      </c>
      <c r="B113" s="1" t="n">
        <v>44006</v>
      </c>
      <c r="C113" s="1" t="n">
        <v>45847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30531-2020</t>
        </is>
      </c>
      <c r="B114" s="1" t="n">
        <v>44008</v>
      </c>
      <c r="C114" s="1" t="n">
        <v>45847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30777-2020</t>
        </is>
      </c>
      <c r="B115" s="1" t="n">
        <v>44009</v>
      </c>
      <c r="C115" s="1" t="n">
        <v>45847</v>
      </c>
      <c r="D115" t="inlineStr">
        <is>
          <t>VÄSTERBOTTENS LÄN</t>
        </is>
      </c>
      <c r="E115" t="inlineStr">
        <is>
          <t>NORSJÖ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31530-2020</t>
        </is>
      </c>
      <c r="B116" s="1" t="n">
        <v>44013</v>
      </c>
      <c r="C116" s="1" t="n">
        <v>45847</v>
      </c>
      <c r="D116" t="inlineStr">
        <is>
          <t>VÄSTERBOTTENS LÄN</t>
        </is>
      </c>
      <c r="E116" t="inlineStr">
        <is>
          <t>NORSJÖ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32184-2020</t>
        </is>
      </c>
      <c r="B117" s="1" t="n">
        <v>44015</v>
      </c>
      <c r="C117" s="1" t="n">
        <v>45847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32670-2020</t>
        </is>
      </c>
      <c r="B118" s="1" t="n">
        <v>44019</v>
      </c>
      <c r="C118" s="1" t="n">
        <v>45847</v>
      </c>
      <c r="D118" t="inlineStr">
        <is>
          <t>VÄSTERBOTTENS LÄN</t>
        </is>
      </c>
      <c r="E118" t="inlineStr">
        <is>
          <t>NORSJÖ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33731-2020</t>
        </is>
      </c>
      <c r="B119" s="1" t="n">
        <v>44023</v>
      </c>
      <c r="C119" s="1" t="n">
        <v>45847</v>
      </c>
      <c r="D119" t="inlineStr">
        <is>
          <t>VÄSTERBOTTENS LÄN</t>
        </is>
      </c>
      <c r="E119" t="inlineStr">
        <is>
          <t>NORSJÖ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33734-2020</t>
        </is>
      </c>
      <c r="B120" s="1" t="n">
        <v>44023</v>
      </c>
      <c r="C120" s="1" t="n">
        <v>45847</v>
      </c>
      <c r="D120" t="inlineStr">
        <is>
          <t>VÄSTERBOTTENS LÄN</t>
        </is>
      </c>
      <c r="E120" t="inlineStr">
        <is>
          <t>NORSJÖ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33928-2020</t>
        </is>
      </c>
      <c r="B121" s="1" t="n">
        <v>44027</v>
      </c>
      <c r="C121" s="1" t="n">
        <v>45847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34733-2020</t>
        </is>
      </c>
      <c r="B122" s="1" t="n">
        <v>44035</v>
      </c>
      <c r="C122" s="1" t="n">
        <v>45847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36842-2020</t>
        </is>
      </c>
      <c r="B123" s="1" t="n">
        <v>44053</v>
      </c>
      <c r="C123" s="1" t="n">
        <v>45847</v>
      </c>
      <c r="D123" t="inlineStr">
        <is>
          <t>VÄSTERBOTTENS LÄN</t>
        </is>
      </c>
      <c r="E123" t="inlineStr">
        <is>
          <t>NORSJÖ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36844-2020</t>
        </is>
      </c>
      <c r="B124" s="1" t="n">
        <v>44053</v>
      </c>
      <c r="C124" s="1" t="n">
        <v>45847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37073-2020</t>
        </is>
      </c>
      <c r="B125" s="1" t="n">
        <v>44054</v>
      </c>
      <c r="C125" s="1" t="n">
        <v>45847</v>
      </c>
      <c r="D125" t="inlineStr">
        <is>
          <t>VÄSTERBOTTENS LÄN</t>
        </is>
      </c>
      <c r="E125" t="inlineStr">
        <is>
          <t>NORSJÖ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39151-2020</t>
        </is>
      </c>
      <c r="B126" s="1" t="n">
        <v>44063</v>
      </c>
      <c r="C126" s="1" t="n">
        <v>45847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40272-2020</t>
        </is>
      </c>
      <c r="B127" s="1" t="n">
        <v>44068</v>
      </c>
      <c r="C127" s="1" t="n">
        <v>45847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41674-2020</t>
        </is>
      </c>
      <c r="B128" s="1" t="n">
        <v>44074</v>
      </c>
      <c r="C128" s="1" t="n">
        <v>45847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41664-2020</t>
        </is>
      </c>
      <c r="B129" s="1" t="n">
        <v>44074</v>
      </c>
      <c r="C129" s="1" t="n">
        <v>45847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50986-2020</t>
        </is>
      </c>
      <c r="B130" s="1" t="n">
        <v>44111</v>
      </c>
      <c r="C130" s="1" t="n">
        <v>45847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52340-2020</t>
        </is>
      </c>
      <c r="B131" s="1" t="n">
        <v>44117</v>
      </c>
      <c r="C131" s="1" t="n">
        <v>45847</v>
      </c>
      <c r="D131" t="inlineStr">
        <is>
          <t>VÄSTERBOTTENS LÄN</t>
        </is>
      </c>
      <c r="E131" t="inlineStr">
        <is>
          <t>NORSJÖ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52939-2020</t>
        </is>
      </c>
      <c r="B132" s="1" t="n">
        <v>44119</v>
      </c>
      <c r="C132" s="1" t="n">
        <v>45847</v>
      </c>
      <c r="D132" t="inlineStr">
        <is>
          <t>VÄSTERBOTTENS LÄN</t>
        </is>
      </c>
      <c r="E132" t="inlineStr">
        <is>
          <t>NORSJÖ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59031-2020</t>
        </is>
      </c>
      <c r="B133" s="1" t="n">
        <v>44147</v>
      </c>
      <c r="C133" s="1" t="n">
        <v>45847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60216-2020</t>
        </is>
      </c>
      <c r="B134" s="1" t="n">
        <v>44152</v>
      </c>
      <c r="C134" s="1" t="n">
        <v>45847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60226-2020</t>
        </is>
      </c>
      <c r="B135" s="1" t="n">
        <v>44152</v>
      </c>
      <c r="C135" s="1" t="n">
        <v>45847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17.4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61196-2020</t>
        </is>
      </c>
      <c r="B136" s="1" t="n">
        <v>44155</v>
      </c>
      <c r="C136" s="1" t="n">
        <v>45847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62100-2020</t>
        </is>
      </c>
      <c r="B137" s="1" t="n">
        <v>44159</v>
      </c>
      <c r="C137" s="1" t="n">
        <v>45847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62037-2020</t>
        </is>
      </c>
      <c r="B138" s="1" t="n">
        <v>44159</v>
      </c>
      <c r="C138" s="1" t="n">
        <v>45847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62701-2020</t>
        </is>
      </c>
      <c r="B139" s="1" t="n">
        <v>44161</v>
      </c>
      <c r="C139" s="1" t="n">
        <v>45847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63499-2020</t>
        </is>
      </c>
      <c r="B140" s="1" t="n">
        <v>44165</v>
      </c>
      <c r="C140" s="1" t="n">
        <v>45847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65392-2020</t>
        </is>
      </c>
      <c r="B141" s="1" t="n">
        <v>44169</v>
      </c>
      <c r="C141" s="1" t="n">
        <v>45847</v>
      </c>
      <c r="D141" t="inlineStr">
        <is>
          <t>VÄSTERBOTTENS LÄN</t>
        </is>
      </c>
      <c r="E141" t="inlineStr">
        <is>
          <t>NORSJÖ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67226-2020</t>
        </is>
      </c>
      <c r="B142" s="1" t="n">
        <v>44180</v>
      </c>
      <c r="C142" s="1" t="n">
        <v>45847</v>
      </c>
      <c r="D142" t="inlineStr">
        <is>
          <t>VÄSTERBOTTENS LÄN</t>
        </is>
      </c>
      <c r="E142" t="inlineStr">
        <is>
          <t>NORSJÖ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67227-2020</t>
        </is>
      </c>
      <c r="B143" s="1" t="n">
        <v>44180</v>
      </c>
      <c r="C143" s="1" t="n">
        <v>45847</v>
      </c>
      <c r="D143" t="inlineStr">
        <is>
          <t>VÄSTERBOTTENS LÄN</t>
        </is>
      </c>
      <c r="E143" t="inlineStr">
        <is>
          <t>NORSJÖ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2148-2021</t>
        </is>
      </c>
      <c r="B144" s="1" t="n">
        <v>44211</v>
      </c>
      <c r="C144" s="1" t="n">
        <v>45847</v>
      </c>
      <c r="D144" t="inlineStr">
        <is>
          <t>VÄSTERBOTTENS LÄN</t>
        </is>
      </c>
      <c r="E144" t="inlineStr">
        <is>
          <t>NORSJÖ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3878-2021</t>
        </is>
      </c>
      <c r="B145" s="1" t="n">
        <v>44222</v>
      </c>
      <c r="C145" s="1" t="n">
        <v>45847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7025-2021</t>
        </is>
      </c>
      <c r="B146" s="1" t="n">
        <v>44237</v>
      </c>
      <c r="C146" s="1" t="n">
        <v>45847</v>
      </c>
      <c r="D146" t="inlineStr">
        <is>
          <t>VÄSTERBOTTENS LÄN</t>
        </is>
      </c>
      <c r="E146" t="inlineStr">
        <is>
          <t>NORSJÖ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9987-2021</t>
        </is>
      </c>
      <c r="B147" s="1" t="n">
        <v>44254</v>
      </c>
      <c r="C147" s="1" t="n">
        <v>45847</v>
      </c>
      <c r="D147" t="inlineStr">
        <is>
          <t>VÄSTERBOTTENS LÄN</t>
        </is>
      </c>
      <c r="E147" t="inlineStr">
        <is>
          <t>NORSJÖ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10421-2021</t>
        </is>
      </c>
      <c r="B148" s="1" t="n">
        <v>44257</v>
      </c>
      <c r="C148" s="1" t="n">
        <v>45847</v>
      </c>
      <c r="D148" t="inlineStr">
        <is>
          <t>VÄSTERBOTTENS LÄN</t>
        </is>
      </c>
      <c r="E148" t="inlineStr">
        <is>
          <t>NORSJÖ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13783-2021</t>
        </is>
      </c>
      <c r="B149" s="1" t="n">
        <v>44274</v>
      </c>
      <c r="C149" s="1" t="n">
        <v>45847</v>
      </c>
      <c r="D149" t="inlineStr">
        <is>
          <t>VÄSTERBOTTENS LÄN</t>
        </is>
      </c>
      <c r="E149" t="inlineStr">
        <is>
          <t>NORSJÖ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15379-2021</t>
        </is>
      </c>
      <c r="B150" s="1" t="n">
        <v>44284</v>
      </c>
      <c r="C150" s="1" t="n">
        <v>45847</v>
      </c>
      <c r="D150" t="inlineStr">
        <is>
          <t>VÄSTERBOTTENS LÄN</t>
        </is>
      </c>
      <c r="E150" t="inlineStr">
        <is>
          <t>NORSJÖ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15889-2021</t>
        </is>
      </c>
      <c r="B151" s="1" t="n">
        <v>44287</v>
      </c>
      <c r="C151" s="1" t="n">
        <v>45847</v>
      </c>
      <c r="D151" t="inlineStr">
        <is>
          <t>VÄSTERBOTTENS LÄN</t>
        </is>
      </c>
      <c r="E151" t="inlineStr">
        <is>
          <t>NORSJÖ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18862-2021</t>
        </is>
      </c>
      <c r="B152" s="1" t="n">
        <v>44308</v>
      </c>
      <c r="C152" s="1" t="n">
        <v>45847</v>
      </c>
      <c r="D152" t="inlineStr">
        <is>
          <t>VÄSTERBOTTENS LÄN</t>
        </is>
      </c>
      <c r="E152" t="inlineStr">
        <is>
          <t>NORSJÖ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18861-2021</t>
        </is>
      </c>
      <c r="B153" s="1" t="n">
        <v>44308</v>
      </c>
      <c r="C153" s="1" t="n">
        <v>45847</v>
      </c>
      <c r="D153" t="inlineStr">
        <is>
          <t>VÄSTERBOTTENS LÄN</t>
        </is>
      </c>
      <c r="E153" t="inlineStr">
        <is>
          <t>NORSJÖ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19662-2021</t>
        </is>
      </c>
      <c r="B154" s="1" t="n">
        <v>44312</v>
      </c>
      <c r="C154" s="1" t="n">
        <v>45847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22978-2021</t>
        </is>
      </c>
      <c r="B155" s="1" t="n">
        <v>44328</v>
      </c>
      <c r="C155" s="1" t="n">
        <v>45847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Sveaskog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24235-2021</t>
        </is>
      </c>
      <c r="B156" s="1" t="n">
        <v>44337</v>
      </c>
      <c r="C156" s="1" t="n">
        <v>45847</v>
      </c>
      <c r="D156" t="inlineStr">
        <is>
          <t>VÄSTERBOTTENS LÄN</t>
        </is>
      </c>
      <c r="E156" t="inlineStr">
        <is>
          <t>NORSJÖ</t>
        </is>
      </c>
      <c r="G156" t="n">
        <v>15.4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28462-2021</t>
        </is>
      </c>
      <c r="B157" s="1" t="n">
        <v>44356</v>
      </c>
      <c r="C157" s="1" t="n">
        <v>45847</v>
      </c>
      <c r="D157" t="inlineStr">
        <is>
          <t>VÄSTERBOTTENS LÄN</t>
        </is>
      </c>
      <c r="E157" t="inlineStr">
        <is>
          <t>NORSJÖ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28889-2021</t>
        </is>
      </c>
      <c r="B158" s="1" t="n">
        <v>44358</v>
      </c>
      <c r="C158" s="1" t="n">
        <v>45847</v>
      </c>
      <c r="D158" t="inlineStr">
        <is>
          <t>VÄSTERBOTTENS LÄN</t>
        </is>
      </c>
      <c r="E158" t="inlineStr">
        <is>
          <t>NORSJÖ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29922-2021</t>
        </is>
      </c>
      <c r="B159" s="1" t="n">
        <v>44362</v>
      </c>
      <c r="C159" s="1" t="n">
        <v>45847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29923-2021</t>
        </is>
      </c>
      <c r="B160" s="1" t="n">
        <v>44362</v>
      </c>
      <c r="C160" s="1" t="n">
        <v>45847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31414-2021</t>
        </is>
      </c>
      <c r="B161" s="1" t="n">
        <v>44368</v>
      </c>
      <c r="C161" s="1" t="n">
        <v>45847</v>
      </c>
      <c r="D161" t="inlineStr">
        <is>
          <t>VÄSTERBOTTENS LÄN</t>
        </is>
      </c>
      <c r="E161" t="inlineStr">
        <is>
          <t>NORSJÖ</t>
        </is>
      </c>
      <c r="G161" t="n">
        <v>29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32033-2021</t>
        </is>
      </c>
      <c r="B162" s="1" t="n">
        <v>44370</v>
      </c>
      <c r="C162" s="1" t="n">
        <v>45847</v>
      </c>
      <c r="D162" t="inlineStr">
        <is>
          <t>VÄSTERBOTTENS LÄN</t>
        </is>
      </c>
      <c r="E162" t="inlineStr">
        <is>
          <t>NORSJÖ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32006-2021</t>
        </is>
      </c>
      <c r="B163" s="1" t="n">
        <v>44370</v>
      </c>
      <c r="C163" s="1" t="n">
        <v>45847</v>
      </c>
      <c r="D163" t="inlineStr">
        <is>
          <t>VÄSTERBOTTENS LÄN</t>
        </is>
      </c>
      <c r="E163" t="inlineStr">
        <is>
          <t>NORSJÖ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32083-2021</t>
        </is>
      </c>
      <c r="B164" s="1" t="n">
        <v>44371</v>
      </c>
      <c r="C164" s="1" t="n">
        <v>45847</v>
      </c>
      <c r="D164" t="inlineStr">
        <is>
          <t>VÄSTERBOTTENS LÄN</t>
        </is>
      </c>
      <c r="E164" t="inlineStr">
        <is>
          <t>NORSJÖ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32451-2021</t>
        </is>
      </c>
      <c r="B165" s="1" t="n">
        <v>44371</v>
      </c>
      <c r="C165" s="1" t="n">
        <v>45847</v>
      </c>
      <c r="D165" t="inlineStr">
        <is>
          <t>VÄSTERBOTTENS LÄN</t>
        </is>
      </c>
      <c r="E165" t="inlineStr">
        <is>
          <t>NORSJÖ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32429-2021</t>
        </is>
      </c>
      <c r="B166" s="1" t="n">
        <v>44371</v>
      </c>
      <c r="C166" s="1" t="n">
        <v>45847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32661-2021</t>
        </is>
      </c>
      <c r="B167" s="1" t="n">
        <v>44375</v>
      </c>
      <c r="C167" s="1" t="n">
        <v>45847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33249-2021</t>
        </is>
      </c>
      <c r="B168" s="1" t="n">
        <v>44376</v>
      </c>
      <c r="C168" s="1" t="n">
        <v>45847</v>
      </c>
      <c r="D168" t="inlineStr">
        <is>
          <t>VÄSTERBOTTENS LÄN</t>
        </is>
      </c>
      <c r="E168" t="inlineStr">
        <is>
          <t>NORSJÖ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33261-2021</t>
        </is>
      </c>
      <c r="B169" s="1" t="n">
        <v>44376</v>
      </c>
      <c r="C169" s="1" t="n">
        <v>45847</v>
      </c>
      <c r="D169" t="inlineStr">
        <is>
          <t>VÄSTERBOTTENS LÄN</t>
        </is>
      </c>
      <c r="E169" t="inlineStr">
        <is>
          <t>NORSJÖ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33381-2021</t>
        </is>
      </c>
      <c r="B170" s="1" t="n">
        <v>44377</v>
      </c>
      <c r="C170" s="1" t="n">
        <v>45847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16.3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34883-2021</t>
        </is>
      </c>
      <c r="B171" s="1" t="n">
        <v>44382</v>
      </c>
      <c r="C171" s="1" t="n">
        <v>45847</v>
      </c>
      <c r="D171" t="inlineStr">
        <is>
          <t>VÄSTERBOTTENS LÄN</t>
        </is>
      </c>
      <c r="E171" t="inlineStr">
        <is>
          <t>NORSJÖ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34900-2021</t>
        </is>
      </c>
      <c r="B172" s="1" t="n">
        <v>44383</v>
      </c>
      <c r="C172" s="1" t="n">
        <v>45847</v>
      </c>
      <c r="D172" t="inlineStr">
        <is>
          <t>VÄSTERBOTTENS LÄN</t>
        </is>
      </c>
      <c r="E172" t="inlineStr">
        <is>
          <t>NORSJÖ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38172-2021</t>
        </is>
      </c>
      <c r="B173" s="1" t="n">
        <v>44405</v>
      </c>
      <c r="C173" s="1" t="n">
        <v>45847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38241-2021</t>
        </is>
      </c>
      <c r="B174" s="1" t="n">
        <v>44405</v>
      </c>
      <c r="C174" s="1" t="n">
        <v>45847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38210-2021</t>
        </is>
      </c>
      <c r="B175" s="1" t="n">
        <v>44405</v>
      </c>
      <c r="C175" s="1" t="n">
        <v>45847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39305-2021</t>
        </is>
      </c>
      <c r="B176" s="1" t="n">
        <v>44413</v>
      </c>
      <c r="C176" s="1" t="n">
        <v>45847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39577-2021</t>
        </is>
      </c>
      <c r="B177" s="1" t="n">
        <v>44416</v>
      </c>
      <c r="C177" s="1" t="n">
        <v>45847</v>
      </c>
      <c r="D177" t="inlineStr">
        <is>
          <t>VÄSTERBOTTENS LÄN</t>
        </is>
      </c>
      <c r="E177" t="inlineStr">
        <is>
          <t>NORSJÖ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39936-2021</t>
        </is>
      </c>
      <c r="B178" s="1" t="n">
        <v>44418</v>
      </c>
      <c r="C178" s="1" t="n">
        <v>45847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SCA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39995-2021</t>
        </is>
      </c>
      <c r="B179" s="1" t="n">
        <v>44417</v>
      </c>
      <c r="C179" s="1" t="n">
        <v>45847</v>
      </c>
      <c r="D179" t="inlineStr">
        <is>
          <t>VÄSTERBOTTENS LÄN</t>
        </is>
      </c>
      <c r="E179" t="inlineStr">
        <is>
          <t>NORSJÖ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41250-2021</t>
        </is>
      </c>
      <c r="B180" s="1" t="n">
        <v>44424</v>
      </c>
      <c r="C180" s="1" t="n">
        <v>45847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44584-2021</t>
        </is>
      </c>
      <c r="B181" s="1" t="n">
        <v>44435</v>
      </c>
      <c r="C181" s="1" t="n">
        <v>45847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44582-2021</t>
        </is>
      </c>
      <c r="B182" s="1" t="n">
        <v>44435</v>
      </c>
      <c r="C182" s="1" t="n">
        <v>45847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45618-2021</t>
        </is>
      </c>
      <c r="B183" s="1" t="n">
        <v>44441</v>
      </c>
      <c r="C183" s="1" t="n">
        <v>45847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46018-2021</t>
        </is>
      </c>
      <c r="B184" s="1" t="n">
        <v>44441</v>
      </c>
      <c r="C184" s="1" t="n">
        <v>45847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46776-2021</t>
        </is>
      </c>
      <c r="B185" s="1" t="n">
        <v>44446</v>
      </c>
      <c r="C185" s="1" t="n">
        <v>45847</v>
      </c>
      <c r="D185" t="inlineStr">
        <is>
          <t>VÄSTERBOTTENS LÄN</t>
        </is>
      </c>
      <c r="E185" t="inlineStr">
        <is>
          <t>NORSJÖ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46775-2021</t>
        </is>
      </c>
      <c r="B186" s="1" t="n">
        <v>44446</v>
      </c>
      <c r="C186" s="1" t="n">
        <v>45847</v>
      </c>
      <c r="D186" t="inlineStr">
        <is>
          <t>VÄSTERBOTTENS LÄN</t>
        </is>
      </c>
      <c r="E186" t="inlineStr">
        <is>
          <t>NORSJÖ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49173-2021</t>
        </is>
      </c>
      <c r="B187" s="1" t="n">
        <v>44453</v>
      </c>
      <c r="C187" s="1" t="n">
        <v>45847</v>
      </c>
      <c r="D187" t="inlineStr">
        <is>
          <t>VÄSTERBOTTENS LÄN</t>
        </is>
      </c>
      <c r="E187" t="inlineStr">
        <is>
          <t>NORSJÖ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51297-2021</t>
        </is>
      </c>
      <c r="B188" s="1" t="n">
        <v>44461</v>
      </c>
      <c r="C188" s="1" t="n">
        <v>45847</v>
      </c>
      <c r="D188" t="inlineStr">
        <is>
          <t>VÄSTERBOTTENS LÄN</t>
        </is>
      </c>
      <c r="E188" t="inlineStr">
        <is>
          <t>NORSJÖ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51682-2021</t>
        </is>
      </c>
      <c r="B189" s="1" t="n">
        <v>44462</v>
      </c>
      <c r="C189" s="1" t="n">
        <v>45847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52552-2021</t>
        </is>
      </c>
      <c r="B190" s="1" t="n">
        <v>44466</v>
      </c>
      <c r="C190" s="1" t="n">
        <v>45847</v>
      </c>
      <c r="D190" t="inlineStr">
        <is>
          <t>VÄSTERBOTTENS LÄN</t>
        </is>
      </c>
      <c r="E190" t="inlineStr">
        <is>
          <t>NORSJÖ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53557-2021</t>
        </is>
      </c>
      <c r="B191" s="1" t="n">
        <v>44468</v>
      </c>
      <c r="C191" s="1" t="n">
        <v>45847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Övriga Aktiebolag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54388-2021</t>
        </is>
      </c>
      <c r="B192" s="1" t="n">
        <v>44470</v>
      </c>
      <c r="C192" s="1" t="n">
        <v>45847</v>
      </c>
      <c r="D192" t="inlineStr">
        <is>
          <t>VÄSTERBOTTENS LÄN</t>
        </is>
      </c>
      <c r="E192" t="inlineStr">
        <is>
          <t>NORSJÖ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55160-2021</t>
        </is>
      </c>
      <c r="B193" s="1" t="n">
        <v>44475</v>
      </c>
      <c r="C193" s="1" t="n">
        <v>45847</v>
      </c>
      <c r="D193" t="inlineStr">
        <is>
          <t>VÄSTERBOTTENS LÄN</t>
        </is>
      </c>
      <c r="E193" t="inlineStr">
        <is>
          <t>NORSJÖ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55159-2021</t>
        </is>
      </c>
      <c r="B194" s="1" t="n">
        <v>44475</v>
      </c>
      <c r="C194" s="1" t="n">
        <v>45847</v>
      </c>
      <c r="D194" t="inlineStr">
        <is>
          <t>VÄSTERBOTTENS LÄN</t>
        </is>
      </c>
      <c r="E194" t="inlineStr">
        <is>
          <t>NORSJÖ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55743-2021</t>
        </is>
      </c>
      <c r="B195" s="1" t="n">
        <v>44476</v>
      </c>
      <c r="C195" s="1" t="n">
        <v>45847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55741-2021</t>
        </is>
      </c>
      <c r="B196" s="1" t="n">
        <v>44476</v>
      </c>
      <c r="C196" s="1" t="n">
        <v>45847</v>
      </c>
      <c r="D196" t="inlineStr">
        <is>
          <t>VÄSTERBOTTENS LÄN</t>
        </is>
      </c>
      <c r="E196" t="inlineStr">
        <is>
          <t>NORSJÖ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57195-2021</t>
        </is>
      </c>
      <c r="B197" s="1" t="n">
        <v>44483</v>
      </c>
      <c r="C197" s="1" t="n">
        <v>45847</v>
      </c>
      <c r="D197" t="inlineStr">
        <is>
          <t>VÄSTERBOTTENS LÄN</t>
        </is>
      </c>
      <c r="E197" t="inlineStr">
        <is>
          <t>NORSJÖ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57126-2021</t>
        </is>
      </c>
      <c r="B198" s="1" t="n">
        <v>44482</v>
      </c>
      <c r="C198" s="1" t="n">
        <v>45847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58005-2021</t>
        </is>
      </c>
      <c r="B199" s="1" t="n">
        <v>44487</v>
      </c>
      <c r="C199" s="1" t="n">
        <v>45847</v>
      </c>
      <c r="D199" t="inlineStr">
        <is>
          <t>VÄSTERBOTTENS LÄN</t>
        </is>
      </c>
      <c r="E199" t="inlineStr">
        <is>
          <t>NORSJÖ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58204-2021</t>
        </is>
      </c>
      <c r="B200" s="1" t="n">
        <v>44487</v>
      </c>
      <c r="C200" s="1" t="n">
        <v>45847</v>
      </c>
      <c r="D200" t="inlineStr">
        <is>
          <t>VÄSTERBOTTENS LÄN</t>
        </is>
      </c>
      <c r="E200" t="inlineStr">
        <is>
          <t>NORSJÖ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59133-2021</t>
        </is>
      </c>
      <c r="B201" s="1" t="n">
        <v>44490</v>
      </c>
      <c r="C201" s="1" t="n">
        <v>45847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59136-2021</t>
        </is>
      </c>
      <c r="B202" s="1" t="n">
        <v>44490</v>
      </c>
      <c r="C202" s="1" t="n">
        <v>45847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59280-2021</t>
        </is>
      </c>
      <c r="B203" s="1" t="n">
        <v>44490</v>
      </c>
      <c r="C203" s="1" t="n">
        <v>45847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64179-2021</t>
        </is>
      </c>
      <c r="B204" s="1" t="n">
        <v>44510</v>
      </c>
      <c r="C204" s="1" t="n">
        <v>45847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67104-2021</t>
        </is>
      </c>
      <c r="B205" s="1" t="n">
        <v>44523</v>
      </c>
      <c r="C205" s="1" t="n">
        <v>45847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Naturvårdsverket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67379-2021</t>
        </is>
      </c>
      <c r="B206" s="1" t="n">
        <v>44523</v>
      </c>
      <c r="C206" s="1" t="n">
        <v>45847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67677-2021</t>
        </is>
      </c>
      <c r="B207" s="1" t="n">
        <v>44524</v>
      </c>
      <c r="C207" s="1" t="n">
        <v>45847</v>
      </c>
      <c r="D207" t="inlineStr">
        <is>
          <t>VÄSTERBOTTENS LÄN</t>
        </is>
      </c>
      <c r="E207" t="inlineStr">
        <is>
          <t>NORSJÖ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70216-2021</t>
        </is>
      </c>
      <c r="B208" s="1" t="n">
        <v>44535</v>
      </c>
      <c r="C208" s="1" t="n">
        <v>45847</v>
      </c>
      <c r="D208" t="inlineStr">
        <is>
          <t>VÄSTERBOTTENS LÄN</t>
        </is>
      </c>
      <c r="E208" t="inlineStr">
        <is>
          <t>NORSJÖ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70375-2021</t>
        </is>
      </c>
      <c r="B209" s="1" t="n">
        <v>44536</v>
      </c>
      <c r="C209" s="1" t="n">
        <v>45847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72322-2021</t>
        </is>
      </c>
      <c r="B210" s="1" t="n">
        <v>44545</v>
      </c>
      <c r="C210" s="1" t="n">
        <v>45847</v>
      </c>
      <c r="D210" t="inlineStr">
        <is>
          <t>VÄSTERBOTTENS LÄN</t>
        </is>
      </c>
      <c r="E210" t="inlineStr">
        <is>
          <t>NORSJÖ</t>
        </is>
      </c>
      <c r="F210" t="inlineStr">
        <is>
          <t>Sveaskog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72590-2021</t>
        </is>
      </c>
      <c r="B211" s="1" t="n">
        <v>44546</v>
      </c>
      <c r="C211" s="1" t="n">
        <v>45847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73559-2021</t>
        </is>
      </c>
      <c r="B212" s="1" t="n">
        <v>44551</v>
      </c>
      <c r="C212" s="1" t="n">
        <v>45847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73995-2021</t>
        </is>
      </c>
      <c r="B213" s="1" t="n">
        <v>44556</v>
      </c>
      <c r="C213" s="1" t="n">
        <v>45847</v>
      </c>
      <c r="D213" t="inlineStr">
        <is>
          <t>VÄSTERBOTTENS LÄN</t>
        </is>
      </c>
      <c r="E213" t="inlineStr">
        <is>
          <t>NORSJÖ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436-2022</t>
        </is>
      </c>
      <c r="B214" s="1" t="n">
        <v>44565</v>
      </c>
      <c r="C214" s="1" t="n">
        <v>45847</v>
      </c>
      <c r="D214" t="inlineStr">
        <is>
          <t>VÄSTERBOTTENS LÄN</t>
        </is>
      </c>
      <c r="E214" t="inlineStr">
        <is>
          <t>NORSJÖ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1463-2022</t>
        </is>
      </c>
      <c r="B215" s="1" t="n">
        <v>44573</v>
      </c>
      <c r="C215" s="1" t="n">
        <v>45847</v>
      </c>
      <c r="D215" t="inlineStr">
        <is>
          <t>VÄSTERBOTTENS LÄN</t>
        </is>
      </c>
      <c r="E215" t="inlineStr">
        <is>
          <t>NORSJÖ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1853-2022</t>
        </is>
      </c>
      <c r="B216" s="1" t="n">
        <v>44574</v>
      </c>
      <c r="C216" s="1" t="n">
        <v>45847</v>
      </c>
      <c r="D216" t="inlineStr">
        <is>
          <t>VÄSTERBOTTENS LÄN</t>
        </is>
      </c>
      <c r="E216" t="inlineStr">
        <is>
          <t>NORSJÖ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5371-2022</t>
        </is>
      </c>
      <c r="B217" s="1" t="n">
        <v>44594</v>
      </c>
      <c r="C217" s="1" t="n">
        <v>45847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5368-2022</t>
        </is>
      </c>
      <c r="B218" s="1" t="n">
        <v>44594</v>
      </c>
      <c r="C218" s="1" t="n">
        <v>45847</v>
      </c>
      <c r="D218" t="inlineStr">
        <is>
          <t>VÄSTERBOTTENS LÄN</t>
        </is>
      </c>
      <c r="E218" t="inlineStr">
        <is>
          <t>NORSJÖ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5372-2022</t>
        </is>
      </c>
      <c r="B219" s="1" t="n">
        <v>44594</v>
      </c>
      <c r="C219" s="1" t="n">
        <v>45847</v>
      </c>
      <c r="D219" t="inlineStr">
        <is>
          <t>VÄSTERBOTTENS LÄN</t>
        </is>
      </c>
      <c r="E219" t="inlineStr">
        <is>
          <t>NORSJÖ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6901-2022</t>
        </is>
      </c>
      <c r="B220" s="1" t="n">
        <v>44602</v>
      </c>
      <c r="C220" s="1" t="n">
        <v>45847</v>
      </c>
      <c r="D220" t="inlineStr">
        <is>
          <t>VÄSTERBOTTENS LÄN</t>
        </is>
      </c>
      <c r="E220" t="inlineStr">
        <is>
          <t>NORSJÖ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6902-2022</t>
        </is>
      </c>
      <c r="B221" s="1" t="n">
        <v>44602</v>
      </c>
      <c r="C221" s="1" t="n">
        <v>45847</v>
      </c>
      <c r="D221" t="inlineStr">
        <is>
          <t>VÄSTERBOTTENS LÄN</t>
        </is>
      </c>
      <c r="E221" t="inlineStr">
        <is>
          <t>NORSJÖ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6904-2022</t>
        </is>
      </c>
      <c r="B222" s="1" t="n">
        <v>44602</v>
      </c>
      <c r="C222" s="1" t="n">
        <v>45847</v>
      </c>
      <c r="D222" t="inlineStr">
        <is>
          <t>VÄSTERBOTTENS LÄN</t>
        </is>
      </c>
      <c r="E222" t="inlineStr">
        <is>
          <t>NORSJÖ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7320-2022</t>
        </is>
      </c>
      <c r="B223" s="1" t="n">
        <v>44606</v>
      </c>
      <c r="C223" s="1" t="n">
        <v>45847</v>
      </c>
      <c r="D223" t="inlineStr">
        <is>
          <t>VÄSTERBOTTENS LÄN</t>
        </is>
      </c>
      <c r="E223" t="inlineStr">
        <is>
          <t>NORSJÖ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7979-2022</t>
        </is>
      </c>
      <c r="B224" s="1" t="n">
        <v>44608</v>
      </c>
      <c r="C224" s="1" t="n">
        <v>45847</v>
      </c>
      <c r="D224" t="inlineStr">
        <is>
          <t>VÄSTERBOTTENS LÄN</t>
        </is>
      </c>
      <c r="E224" t="inlineStr">
        <is>
          <t>NORSJÖ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8917-2022</t>
        </is>
      </c>
      <c r="B225" s="1" t="n">
        <v>44615</v>
      </c>
      <c r="C225" s="1" t="n">
        <v>45847</v>
      </c>
      <c r="D225" t="inlineStr">
        <is>
          <t>VÄSTERBOTTENS LÄN</t>
        </is>
      </c>
      <c r="E225" t="inlineStr">
        <is>
          <t>NORSJÖ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9061-2022</t>
        </is>
      </c>
      <c r="B226" s="1" t="n">
        <v>44615</v>
      </c>
      <c r="C226" s="1" t="n">
        <v>45847</v>
      </c>
      <c r="D226" t="inlineStr">
        <is>
          <t>VÄSTERBOTTENS LÄN</t>
        </is>
      </c>
      <c r="E226" t="inlineStr">
        <is>
          <t>NORSJÖ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9719-2022</t>
        </is>
      </c>
      <c r="B227" s="1" t="n">
        <v>44617</v>
      </c>
      <c r="C227" s="1" t="n">
        <v>45847</v>
      </c>
      <c r="D227" t="inlineStr">
        <is>
          <t>VÄSTERBOTTENS LÄN</t>
        </is>
      </c>
      <c r="E227" t="inlineStr">
        <is>
          <t>NORSJÖ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9718-2022</t>
        </is>
      </c>
      <c r="B228" s="1" t="n">
        <v>44617</v>
      </c>
      <c r="C228" s="1" t="n">
        <v>45847</v>
      </c>
      <c r="D228" t="inlineStr">
        <is>
          <t>VÄSTERBOTTENS LÄN</t>
        </is>
      </c>
      <c r="E228" t="inlineStr">
        <is>
          <t>NORSJÖ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9921-2022</t>
        </is>
      </c>
      <c r="B229" s="1" t="n">
        <v>44620</v>
      </c>
      <c r="C229" s="1" t="n">
        <v>45847</v>
      </c>
      <c r="D229" t="inlineStr">
        <is>
          <t>VÄSTERBOTTENS LÄN</t>
        </is>
      </c>
      <c r="E229" t="inlineStr">
        <is>
          <t>NORSJÖ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15085-2022</t>
        </is>
      </c>
      <c r="B230" s="1" t="n">
        <v>44658</v>
      </c>
      <c r="C230" s="1" t="n">
        <v>45847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16294-2022</t>
        </is>
      </c>
      <c r="B231" s="1" t="n">
        <v>44670</v>
      </c>
      <c r="C231" s="1" t="n">
        <v>45847</v>
      </c>
      <c r="D231" t="inlineStr">
        <is>
          <t>VÄSTERBOTTENS LÄN</t>
        </is>
      </c>
      <c r="E231" t="inlineStr">
        <is>
          <t>NORSJÖ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16298-2022</t>
        </is>
      </c>
      <c r="B232" s="1" t="n">
        <v>44670</v>
      </c>
      <c r="C232" s="1" t="n">
        <v>45847</v>
      </c>
      <c r="D232" t="inlineStr">
        <is>
          <t>VÄSTERBOTTENS LÄN</t>
        </is>
      </c>
      <c r="E232" t="inlineStr">
        <is>
          <t>NORSJÖ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22912-2022</t>
        </is>
      </c>
      <c r="B233" s="1" t="n">
        <v>44715</v>
      </c>
      <c r="C233" s="1" t="n">
        <v>45847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23127-2022</t>
        </is>
      </c>
      <c r="B234" s="1" t="n">
        <v>44719</v>
      </c>
      <c r="C234" s="1" t="n">
        <v>45847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23168-2022</t>
        </is>
      </c>
      <c r="B235" s="1" t="n">
        <v>44719</v>
      </c>
      <c r="C235" s="1" t="n">
        <v>45847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23658-2022</t>
        </is>
      </c>
      <c r="B236" s="1" t="n">
        <v>44721</v>
      </c>
      <c r="C236" s="1" t="n">
        <v>45847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24814-2022</t>
        </is>
      </c>
      <c r="B237" s="1" t="n">
        <v>44728</v>
      </c>
      <c r="C237" s="1" t="n">
        <v>45847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27079-2022</t>
        </is>
      </c>
      <c r="B238" s="1" t="n">
        <v>44741</v>
      </c>
      <c r="C238" s="1" t="n">
        <v>45847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27563-2022</t>
        </is>
      </c>
      <c r="B239" s="1" t="n">
        <v>44743</v>
      </c>
      <c r="C239" s="1" t="n">
        <v>45847</v>
      </c>
      <c r="D239" t="inlineStr">
        <is>
          <t>VÄSTERBOTTENS LÄN</t>
        </is>
      </c>
      <c r="E239" t="inlineStr">
        <is>
          <t>NORSJÖ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28884-2022</t>
        </is>
      </c>
      <c r="B240" s="1" t="n">
        <v>44749</v>
      </c>
      <c r="C240" s="1" t="n">
        <v>45847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29275-2022</t>
        </is>
      </c>
      <c r="B241" s="1" t="n">
        <v>44750</v>
      </c>
      <c r="C241" s="1" t="n">
        <v>45847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32347-2022</t>
        </is>
      </c>
      <c r="B242" s="1" t="n">
        <v>44782</v>
      </c>
      <c r="C242" s="1" t="n">
        <v>45847</v>
      </c>
      <c r="D242" t="inlineStr">
        <is>
          <t>VÄSTERBOTTENS LÄN</t>
        </is>
      </c>
      <c r="E242" t="inlineStr">
        <is>
          <t>NORSJÖ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33468-2022</t>
        </is>
      </c>
      <c r="B243" s="1" t="n">
        <v>44788</v>
      </c>
      <c r="C243" s="1" t="n">
        <v>45847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35478-2022</t>
        </is>
      </c>
      <c r="B244" s="1" t="n">
        <v>44798</v>
      </c>
      <c r="C244" s="1" t="n">
        <v>45847</v>
      </c>
      <c r="D244" t="inlineStr">
        <is>
          <t>VÄSTERBOTTENS LÄN</t>
        </is>
      </c>
      <c r="E244" t="inlineStr">
        <is>
          <t>NORSJÖ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36472-2022</t>
        </is>
      </c>
      <c r="B245" s="1" t="n">
        <v>44804</v>
      </c>
      <c r="C245" s="1" t="n">
        <v>45847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36600-2022</t>
        </is>
      </c>
      <c r="B246" s="1" t="n">
        <v>44804</v>
      </c>
      <c r="C246" s="1" t="n">
        <v>45847</v>
      </c>
      <c r="D246" t="inlineStr">
        <is>
          <t>VÄSTERBOTTENS LÄN</t>
        </is>
      </c>
      <c r="E246" t="inlineStr">
        <is>
          <t>NORSJÖ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37135-2022</t>
        </is>
      </c>
      <c r="B247" s="1" t="n">
        <v>44806</v>
      </c>
      <c r="C247" s="1" t="n">
        <v>45847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38089-2022</t>
        </is>
      </c>
      <c r="B248" s="1" t="n">
        <v>44812</v>
      </c>
      <c r="C248" s="1" t="n">
        <v>45847</v>
      </c>
      <c r="D248" t="inlineStr">
        <is>
          <t>VÄSTERBOTTENS LÄN</t>
        </is>
      </c>
      <c r="E248" t="inlineStr">
        <is>
          <t>NORSJÖ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38999-2022</t>
        </is>
      </c>
      <c r="B249" s="1" t="n">
        <v>44817</v>
      </c>
      <c r="C249" s="1" t="n">
        <v>45847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39558-2022</t>
        </is>
      </c>
      <c r="B250" s="1" t="n">
        <v>44818</v>
      </c>
      <c r="C250" s="1" t="n">
        <v>45847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39988-2022</t>
        </is>
      </c>
      <c r="B251" s="1" t="n">
        <v>44820</v>
      </c>
      <c r="C251" s="1" t="n">
        <v>45847</v>
      </c>
      <c r="D251" t="inlineStr">
        <is>
          <t>VÄSTERBOTTENS LÄN</t>
        </is>
      </c>
      <c r="E251" t="inlineStr">
        <is>
          <t>NORSJÖ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41890-2022</t>
        </is>
      </c>
      <c r="B252" s="1" t="n">
        <v>44830</v>
      </c>
      <c r="C252" s="1" t="n">
        <v>45847</v>
      </c>
      <c r="D252" t="inlineStr">
        <is>
          <t>VÄSTERBOTTENS LÄN</t>
        </is>
      </c>
      <c r="E252" t="inlineStr">
        <is>
          <t>NORSJÖ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42114-2022</t>
        </is>
      </c>
      <c r="B253" s="1" t="n">
        <v>44830</v>
      </c>
      <c r="C253" s="1" t="n">
        <v>45847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42262-2022</t>
        </is>
      </c>
      <c r="B254" s="1" t="n">
        <v>44831</v>
      </c>
      <c r="C254" s="1" t="n">
        <v>45847</v>
      </c>
      <c r="D254" t="inlineStr">
        <is>
          <t>VÄSTERBOTTENS LÄN</t>
        </is>
      </c>
      <c r="E254" t="inlineStr">
        <is>
          <t>NORSJÖ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42253-2022</t>
        </is>
      </c>
      <c r="B255" s="1" t="n">
        <v>44831</v>
      </c>
      <c r="C255" s="1" t="n">
        <v>45847</v>
      </c>
      <c r="D255" t="inlineStr">
        <is>
          <t>VÄSTERBOTTENS LÄN</t>
        </is>
      </c>
      <c r="E255" t="inlineStr">
        <is>
          <t>NORSJÖ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42367-2022</t>
        </is>
      </c>
      <c r="B256" s="1" t="n">
        <v>44831</v>
      </c>
      <c r="C256" s="1" t="n">
        <v>45847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44030-2022</t>
        </is>
      </c>
      <c r="B257" s="1" t="n">
        <v>44839</v>
      </c>
      <c r="C257" s="1" t="n">
        <v>45847</v>
      </c>
      <c r="D257" t="inlineStr">
        <is>
          <t>VÄSTERBOTTENS LÄN</t>
        </is>
      </c>
      <c r="E257" t="inlineStr">
        <is>
          <t>NORSJÖ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46090-2022</t>
        </is>
      </c>
      <c r="B258" s="1" t="n">
        <v>44844</v>
      </c>
      <c r="C258" s="1" t="n">
        <v>45847</v>
      </c>
      <c r="D258" t="inlineStr">
        <is>
          <t>VÄSTERBOTTENS LÄN</t>
        </is>
      </c>
      <c r="E258" t="inlineStr">
        <is>
          <t>NORSJÖ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46444-2022</t>
        </is>
      </c>
      <c r="B259" s="1" t="n">
        <v>44848</v>
      </c>
      <c r="C259" s="1" t="n">
        <v>45847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46860-2022</t>
        </is>
      </c>
      <c r="B260" s="1" t="n">
        <v>44848</v>
      </c>
      <c r="C260" s="1" t="n">
        <v>45847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46848-2022</t>
        </is>
      </c>
      <c r="B261" s="1" t="n">
        <v>44848</v>
      </c>
      <c r="C261" s="1" t="n">
        <v>45847</v>
      </c>
      <c r="D261" t="inlineStr">
        <is>
          <t>VÄSTERBOTTENS LÄN</t>
        </is>
      </c>
      <c r="E261" t="inlineStr">
        <is>
          <t>NORSJÖ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47399-2022</t>
        </is>
      </c>
      <c r="B262" s="1" t="n">
        <v>44853</v>
      </c>
      <c r="C262" s="1" t="n">
        <v>45847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47773-2022</t>
        </is>
      </c>
      <c r="B263" s="1" t="n">
        <v>44855</v>
      </c>
      <c r="C263" s="1" t="n">
        <v>45847</v>
      </c>
      <c r="D263" t="inlineStr">
        <is>
          <t>VÄSTERBOTTENS LÄN</t>
        </is>
      </c>
      <c r="E263" t="inlineStr">
        <is>
          <t>NORSJÖ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49735-2022</t>
        </is>
      </c>
      <c r="B264" s="1" t="n">
        <v>44862</v>
      </c>
      <c r="C264" s="1" t="n">
        <v>45847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50730-2022</t>
        </is>
      </c>
      <c r="B265" s="1" t="n">
        <v>44867</v>
      </c>
      <c r="C265" s="1" t="n">
        <v>45847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50706-2022</t>
        </is>
      </c>
      <c r="B266" s="1" t="n">
        <v>44867</v>
      </c>
      <c r="C266" s="1" t="n">
        <v>45847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50796-2022</t>
        </is>
      </c>
      <c r="B267" s="1" t="n">
        <v>44867</v>
      </c>
      <c r="C267" s="1" t="n">
        <v>45847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51000-2022</t>
        </is>
      </c>
      <c r="B268" s="1" t="n">
        <v>44867</v>
      </c>
      <c r="C268" s="1" t="n">
        <v>45847</v>
      </c>
      <c r="D268" t="inlineStr">
        <is>
          <t>VÄSTERBOTTENS LÄN</t>
        </is>
      </c>
      <c r="E268" t="inlineStr">
        <is>
          <t>NORSJÖ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51491-2022</t>
        </is>
      </c>
      <c r="B269" s="1" t="n">
        <v>44869</v>
      </c>
      <c r="C269" s="1" t="n">
        <v>45847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51493-2022</t>
        </is>
      </c>
      <c r="B270" s="1" t="n">
        <v>44869</v>
      </c>
      <c r="C270" s="1" t="n">
        <v>45847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51995-2022</t>
        </is>
      </c>
      <c r="B271" s="1" t="n">
        <v>44872</v>
      </c>
      <c r="C271" s="1" t="n">
        <v>45847</v>
      </c>
      <c r="D271" t="inlineStr">
        <is>
          <t>VÄSTERBOTTENS LÄN</t>
        </is>
      </c>
      <c r="E271" t="inlineStr">
        <is>
          <t>NORSJÖ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51926-2022</t>
        </is>
      </c>
      <c r="B272" s="1" t="n">
        <v>44872</v>
      </c>
      <c r="C272" s="1" t="n">
        <v>45847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51998-2022</t>
        </is>
      </c>
      <c r="B273" s="1" t="n">
        <v>44872</v>
      </c>
      <c r="C273" s="1" t="n">
        <v>45847</v>
      </c>
      <c r="D273" t="inlineStr">
        <is>
          <t>VÄSTERBOTTENS LÄN</t>
        </is>
      </c>
      <c r="E273" t="inlineStr">
        <is>
          <t>NORSJÖ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52330-2022</t>
        </is>
      </c>
      <c r="B274" s="1" t="n">
        <v>44873</v>
      </c>
      <c r="C274" s="1" t="n">
        <v>45847</v>
      </c>
      <c r="D274" t="inlineStr">
        <is>
          <t>VÄSTERBOTTENS LÄN</t>
        </is>
      </c>
      <c r="E274" t="inlineStr">
        <is>
          <t>NORSJÖ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52329-2022</t>
        </is>
      </c>
      <c r="B275" s="1" t="n">
        <v>44873</v>
      </c>
      <c r="C275" s="1" t="n">
        <v>45847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52538-2022</t>
        </is>
      </c>
      <c r="B276" s="1" t="n">
        <v>44874</v>
      </c>
      <c r="C276" s="1" t="n">
        <v>45847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52534-2022</t>
        </is>
      </c>
      <c r="B277" s="1" t="n">
        <v>44874</v>
      </c>
      <c r="C277" s="1" t="n">
        <v>45847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52533-2022</t>
        </is>
      </c>
      <c r="B278" s="1" t="n">
        <v>44874</v>
      </c>
      <c r="C278" s="1" t="n">
        <v>45847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53105-2022</t>
        </is>
      </c>
      <c r="B279" s="1" t="n">
        <v>44876</v>
      </c>
      <c r="C279" s="1" t="n">
        <v>45847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53624-2022</t>
        </is>
      </c>
      <c r="B280" s="1" t="n">
        <v>44879</v>
      </c>
      <c r="C280" s="1" t="n">
        <v>45847</v>
      </c>
      <c r="D280" t="inlineStr">
        <is>
          <t>VÄSTERBOTTENS LÄN</t>
        </is>
      </c>
      <c r="E280" t="inlineStr">
        <is>
          <t>NORSJÖ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54891-2022</t>
        </is>
      </c>
      <c r="B281" s="1" t="n">
        <v>44886</v>
      </c>
      <c r="C281" s="1" t="n">
        <v>45847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56398-2022</t>
        </is>
      </c>
      <c r="B282" s="1" t="n">
        <v>44890</v>
      </c>
      <c r="C282" s="1" t="n">
        <v>45847</v>
      </c>
      <c r="D282" t="inlineStr">
        <is>
          <t>VÄSTERBOTTENS LÄN</t>
        </is>
      </c>
      <c r="E282" t="inlineStr">
        <is>
          <t>NORSJÖ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56436-2022</t>
        </is>
      </c>
      <c r="B283" s="1" t="n">
        <v>44892</v>
      </c>
      <c r="C283" s="1" t="n">
        <v>45847</v>
      </c>
      <c r="D283" t="inlineStr">
        <is>
          <t>VÄSTERBOTTENS LÄN</t>
        </is>
      </c>
      <c r="E283" t="inlineStr">
        <is>
          <t>NORSJÖ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56620-2022</t>
        </is>
      </c>
      <c r="B284" s="1" t="n">
        <v>44893</v>
      </c>
      <c r="C284" s="1" t="n">
        <v>45847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56716-2022</t>
        </is>
      </c>
      <c r="B285" s="1" t="n">
        <v>44893</v>
      </c>
      <c r="C285" s="1" t="n">
        <v>45847</v>
      </c>
      <c r="D285" t="inlineStr">
        <is>
          <t>VÄSTERBOTTENS LÄN</t>
        </is>
      </c>
      <c r="E285" t="inlineStr">
        <is>
          <t>NORSJÖ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56725-2022</t>
        </is>
      </c>
      <c r="B286" s="1" t="n">
        <v>44893</v>
      </c>
      <c r="C286" s="1" t="n">
        <v>45847</v>
      </c>
      <c r="D286" t="inlineStr">
        <is>
          <t>VÄSTERBOTTENS LÄN</t>
        </is>
      </c>
      <c r="E286" t="inlineStr">
        <is>
          <t>NORSJÖ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56717-2022</t>
        </is>
      </c>
      <c r="B287" s="1" t="n">
        <v>44893</v>
      </c>
      <c r="C287" s="1" t="n">
        <v>45847</v>
      </c>
      <c r="D287" t="inlineStr">
        <is>
          <t>VÄSTERBOTTENS LÄN</t>
        </is>
      </c>
      <c r="E287" t="inlineStr">
        <is>
          <t>NORSJÖ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56715-2022</t>
        </is>
      </c>
      <c r="B288" s="1" t="n">
        <v>44893</v>
      </c>
      <c r="C288" s="1" t="n">
        <v>45847</v>
      </c>
      <c r="D288" t="inlineStr">
        <is>
          <t>VÄSTERBOTTENS LÄN</t>
        </is>
      </c>
      <c r="E288" t="inlineStr">
        <is>
          <t>NORSJÖ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58047-2022</t>
        </is>
      </c>
      <c r="B289" s="1" t="n">
        <v>44900</v>
      </c>
      <c r="C289" s="1" t="n">
        <v>45847</v>
      </c>
      <c r="D289" t="inlineStr">
        <is>
          <t>VÄSTERBOTTENS LÄN</t>
        </is>
      </c>
      <c r="E289" t="inlineStr">
        <is>
          <t>NORSJÖ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59135-2022</t>
        </is>
      </c>
      <c r="B290" s="1" t="n">
        <v>44904</v>
      </c>
      <c r="C290" s="1" t="n">
        <v>45847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59131-2022</t>
        </is>
      </c>
      <c r="B291" s="1" t="n">
        <v>44904</v>
      </c>
      <c r="C291" s="1" t="n">
        <v>45847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59420-2022</t>
        </is>
      </c>
      <c r="B292" s="1" t="n">
        <v>44907</v>
      </c>
      <c r="C292" s="1" t="n">
        <v>45847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60346-2022</t>
        </is>
      </c>
      <c r="B293" s="1" t="n">
        <v>44910</v>
      </c>
      <c r="C293" s="1" t="n">
        <v>45847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60991-2022</t>
        </is>
      </c>
      <c r="B294" s="1" t="n">
        <v>44914</v>
      </c>
      <c r="C294" s="1" t="n">
        <v>45847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61033-2022</t>
        </is>
      </c>
      <c r="B295" s="1" t="n">
        <v>44914</v>
      </c>
      <c r="C295" s="1" t="n">
        <v>45847</v>
      </c>
      <c r="D295" t="inlineStr">
        <is>
          <t>VÄSTERBOTTENS LÄN</t>
        </is>
      </c>
      <c r="E295" t="inlineStr">
        <is>
          <t>NORSJÖ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61035-2022</t>
        </is>
      </c>
      <c r="B296" s="1" t="n">
        <v>44914</v>
      </c>
      <c r="C296" s="1" t="n">
        <v>45847</v>
      </c>
      <c r="D296" t="inlineStr">
        <is>
          <t>VÄSTERBOTTENS LÄN</t>
        </is>
      </c>
      <c r="E296" t="inlineStr">
        <is>
          <t>NORSJÖ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61115-2022</t>
        </is>
      </c>
      <c r="B297" s="1" t="n">
        <v>44915</v>
      </c>
      <c r="C297" s="1" t="n">
        <v>45847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21.7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61152-2022</t>
        </is>
      </c>
      <c r="B298" s="1" t="n">
        <v>44915</v>
      </c>
      <c r="C298" s="1" t="n">
        <v>45847</v>
      </c>
      <c r="D298" t="inlineStr">
        <is>
          <t>VÄSTERBOTTENS LÄN</t>
        </is>
      </c>
      <c r="E298" t="inlineStr">
        <is>
          <t>NORSJÖ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61542-2022</t>
        </is>
      </c>
      <c r="B299" s="1" t="n">
        <v>44916</v>
      </c>
      <c r="C299" s="1" t="n">
        <v>45847</v>
      </c>
      <c r="D299" t="inlineStr">
        <is>
          <t>VÄSTERBOTTENS LÄN</t>
        </is>
      </c>
      <c r="E299" t="inlineStr">
        <is>
          <t>NORSJÖ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61593-2022</t>
        </is>
      </c>
      <c r="B300" s="1" t="n">
        <v>44916</v>
      </c>
      <c r="C300" s="1" t="n">
        <v>45847</v>
      </c>
      <c r="D300" t="inlineStr">
        <is>
          <t>VÄSTERBOTTENS LÄN</t>
        </is>
      </c>
      <c r="E300" t="inlineStr">
        <is>
          <t>NORSJÖ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62656-2022</t>
        </is>
      </c>
      <c r="B301" s="1" t="n">
        <v>44917</v>
      </c>
      <c r="C301" s="1" t="n">
        <v>45847</v>
      </c>
      <c r="D301" t="inlineStr">
        <is>
          <t>VÄSTERBOTTENS LÄN</t>
        </is>
      </c>
      <c r="E301" t="inlineStr">
        <is>
          <t>NORSJÖ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471-2023</t>
        </is>
      </c>
      <c r="B302" s="1" t="n">
        <v>44929</v>
      </c>
      <c r="C302" s="1" t="n">
        <v>45847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470-2023</t>
        </is>
      </c>
      <c r="B303" s="1" t="n">
        <v>44929</v>
      </c>
      <c r="C303" s="1" t="n">
        <v>45847</v>
      </c>
      <c r="D303" t="inlineStr">
        <is>
          <t>VÄSTERBOTTENS LÄN</t>
        </is>
      </c>
      <c r="E303" t="inlineStr">
        <is>
          <t>NORSJÖ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881-2023</t>
        </is>
      </c>
      <c r="B304" s="1" t="n">
        <v>44931</v>
      </c>
      <c r="C304" s="1" t="n">
        <v>45847</v>
      </c>
      <c r="D304" t="inlineStr">
        <is>
          <t>VÄSTERBOTTENS LÄN</t>
        </is>
      </c>
      <c r="E304" t="inlineStr">
        <is>
          <t>NORSJÖ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2394-2023</t>
        </is>
      </c>
      <c r="B305" s="1" t="n">
        <v>44942</v>
      </c>
      <c r="C305" s="1" t="n">
        <v>45847</v>
      </c>
      <c r="D305" t="inlineStr">
        <is>
          <t>VÄSTERBOTTENS LÄN</t>
        </is>
      </c>
      <c r="E305" t="inlineStr">
        <is>
          <t>NORSJÖ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2749-2023</t>
        </is>
      </c>
      <c r="B306" s="1" t="n">
        <v>44943</v>
      </c>
      <c r="C306" s="1" t="n">
        <v>45847</v>
      </c>
      <c r="D306" t="inlineStr">
        <is>
          <t>VÄSTERBOTTENS LÄN</t>
        </is>
      </c>
      <c r="E306" t="inlineStr">
        <is>
          <t>NORSJÖ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2705-2023</t>
        </is>
      </c>
      <c r="B307" s="1" t="n">
        <v>44944</v>
      </c>
      <c r="C307" s="1" t="n">
        <v>45847</v>
      </c>
      <c r="D307" t="inlineStr">
        <is>
          <t>VÄSTERBOTTENS LÄN</t>
        </is>
      </c>
      <c r="E307" t="inlineStr">
        <is>
          <t>NORSJÖ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2642-2023</t>
        </is>
      </c>
      <c r="B308" s="1" t="n">
        <v>44944</v>
      </c>
      <c r="C308" s="1" t="n">
        <v>45847</v>
      </c>
      <c r="D308" t="inlineStr">
        <is>
          <t>VÄSTERBOTTENS LÄN</t>
        </is>
      </c>
      <c r="E308" t="inlineStr">
        <is>
          <t>NORSJÖ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2909-2023</t>
        </is>
      </c>
      <c r="B309" s="1" t="n">
        <v>44945</v>
      </c>
      <c r="C309" s="1" t="n">
        <v>45847</v>
      </c>
      <c r="D309" t="inlineStr">
        <is>
          <t>VÄSTERBOTTENS LÄN</t>
        </is>
      </c>
      <c r="E309" t="inlineStr">
        <is>
          <t>NORSJÖ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3612-2023</t>
        </is>
      </c>
      <c r="B310" s="1" t="n">
        <v>44946</v>
      </c>
      <c r="C310" s="1" t="n">
        <v>45847</v>
      </c>
      <c r="D310" t="inlineStr">
        <is>
          <t>VÄSTERBOTTENS LÄN</t>
        </is>
      </c>
      <c r="E310" t="inlineStr">
        <is>
          <t>NORSJÖ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4297-2023</t>
        </is>
      </c>
      <c r="B311" s="1" t="n">
        <v>44953</v>
      </c>
      <c r="C311" s="1" t="n">
        <v>45847</v>
      </c>
      <c r="D311" t="inlineStr">
        <is>
          <t>VÄSTERBOTTENS LÄN</t>
        </is>
      </c>
      <c r="E311" t="inlineStr">
        <is>
          <t>NORSJÖ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5143-2023</t>
        </is>
      </c>
      <c r="B312" s="1" t="n">
        <v>44958</v>
      </c>
      <c r="C312" s="1" t="n">
        <v>45847</v>
      </c>
      <c r="D312" t="inlineStr">
        <is>
          <t>VÄSTERBOTTENS LÄN</t>
        </is>
      </c>
      <c r="E312" t="inlineStr">
        <is>
          <t>NORSJÖ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5144-2023</t>
        </is>
      </c>
      <c r="B313" s="1" t="n">
        <v>44958</v>
      </c>
      <c r="C313" s="1" t="n">
        <v>45847</v>
      </c>
      <c r="D313" t="inlineStr">
        <is>
          <t>VÄSTERBOTTENS LÄN</t>
        </is>
      </c>
      <c r="E313" t="inlineStr">
        <is>
          <t>NORSJÖ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5790-2023</t>
        </is>
      </c>
      <c r="B314" s="1" t="n">
        <v>44963</v>
      </c>
      <c r="C314" s="1" t="n">
        <v>45847</v>
      </c>
      <c r="D314" t="inlineStr">
        <is>
          <t>VÄSTERBOTTENS LÄN</t>
        </is>
      </c>
      <c r="E314" t="inlineStr">
        <is>
          <t>NORSJÖ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5785-2023</t>
        </is>
      </c>
      <c r="B315" s="1" t="n">
        <v>44963</v>
      </c>
      <c r="C315" s="1" t="n">
        <v>45847</v>
      </c>
      <c r="D315" t="inlineStr">
        <is>
          <t>VÄSTERBOTTENS LÄN</t>
        </is>
      </c>
      <c r="E315" t="inlineStr">
        <is>
          <t>NORSJÖ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6619-2023</t>
        </is>
      </c>
      <c r="B316" s="1" t="n">
        <v>44963</v>
      </c>
      <c r="C316" s="1" t="n">
        <v>45847</v>
      </c>
      <c r="D316" t="inlineStr">
        <is>
          <t>VÄSTERBOTTENS LÄN</t>
        </is>
      </c>
      <c r="E316" t="inlineStr">
        <is>
          <t>NORSJÖ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8045-2023</t>
        </is>
      </c>
      <c r="B317" s="1" t="n">
        <v>44963</v>
      </c>
      <c r="C317" s="1" t="n">
        <v>45847</v>
      </c>
      <c r="D317" t="inlineStr">
        <is>
          <t>VÄSTERBOTTENS LÄN</t>
        </is>
      </c>
      <c r="E317" t="inlineStr">
        <is>
          <t>NORSJÖ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6444-2023</t>
        </is>
      </c>
      <c r="B318" s="1" t="n">
        <v>44965</v>
      </c>
      <c r="C318" s="1" t="n">
        <v>45847</v>
      </c>
      <c r="D318" t="inlineStr">
        <is>
          <t>VÄSTERBOTTENS LÄN</t>
        </is>
      </c>
      <c r="E318" t="inlineStr">
        <is>
          <t>NORSJÖ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8352-2023</t>
        </is>
      </c>
      <c r="B319" s="1" t="n">
        <v>44977</v>
      </c>
      <c r="C319" s="1" t="n">
        <v>45847</v>
      </c>
      <c r="D319" t="inlineStr">
        <is>
          <t>VÄSTERBOTTENS LÄN</t>
        </is>
      </c>
      <c r="E319" t="inlineStr">
        <is>
          <t>NORSJÖ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8861-2023</t>
        </is>
      </c>
      <c r="B320" s="1" t="n">
        <v>44978</v>
      </c>
      <c r="C320" s="1" t="n">
        <v>45847</v>
      </c>
      <c r="D320" t="inlineStr">
        <is>
          <t>VÄSTERBOTTENS LÄN</t>
        </is>
      </c>
      <c r="E320" t="inlineStr">
        <is>
          <t>NORSJÖ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10170-2023</t>
        </is>
      </c>
      <c r="B321" s="1" t="n">
        <v>44986</v>
      </c>
      <c r="C321" s="1" t="n">
        <v>45847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31.4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11765-2023</t>
        </is>
      </c>
      <c r="B322" s="1" t="n">
        <v>44993</v>
      </c>
      <c r="C322" s="1" t="n">
        <v>45847</v>
      </c>
      <c r="D322" t="inlineStr">
        <is>
          <t>VÄSTERBOTTENS LÄN</t>
        </is>
      </c>
      <c r="E322" t="inlineStr">
        <is>
          <t>NORSJÖ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12222-2023</t>
        </is>
      </c>
      <c r="B323" s="1" t="n">
        <v>44998</v>
      </c>
      <c r="C323" s="1" t="n">
        <v>45847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12657-2023</t>
        </is>
      </c>
      <c r="B324" s="1" t="n">
        <v>44999</v>
      </c>
      <c r="C324" s="1" t="n">
        <v>45847</v>
      </c>
      <c r="D324" t="inlineStr">
        <is>
          <t>VÄSTERBOTTENS LÄN</t>
        </is>
      </c>
      <c r="E324" t="inlineStr">
        <is>
          <t>NORSJÖ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12765-2023</t>
        </is>
      </c>
      <c r="B325" s="1" t="n">
        <v>44999</v>
      </c>
      <c r="C325" s="1" t="n">
        <v>45847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14226-2023</t>
        </is>
      </c>
      <c r="B326" s="1" t="n">
        <v>45009</v>
      </c>
      <c r="C326" s="1" t="n">
        <v>45847</v>
      </c>
      <c r="D326" t="inlineStr">
        <is>
          <t>VÄSTERBOTTENS LÄN</t>
        </is>
      </c>
      <c r="E326" t="inlineStr">
        <is>
          <t>NORSJÖ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15198-2023</t>
        </is>
      </c>
      <c r="B327" s="1" t="n">
        <v>45016</v>
      </c>
      <c r="C327" s="1" t="n">
        <v>45847</v>
      </c>
      <c r="D327" t="inlineStr">
        <is>
          <t>VÄSTERBOTTENS LÄN</t>
        </is>
      </c>
      <c r="E327" t="inlineStr">
        <is>
          <t>NORSJÖ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15395-2023</t>
        </is>
      </c>
      <c r="B328" s="1" t="n">
        <v>45019</v>
      </c>
      <c r="C328" s="1" t="n">
        <v>45847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15540-2023</t>
        </is>
      </c>
      <c r="B329" s="1" t="n">
        <v>45020</v>
      </c>
      <c r="C329" s="1" t="n">
        <v>45847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16608-2023</t>
        </is>
      </c>
      <c r="B330" s="1" t="n">
        <v>45027</v>
      </c>
      <c r="C330" s="1" t="n">
        <v>45847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16839-2023</t>
        </is>
      </c>
      <c r="B331" s="1" t="n">
        <v>45033</v>
      </c>
      <c r="C331" s="1" t="n">
        <v>45847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17700-2023</t>
        </is>
      </c>
      <c r="B332" s="1" t="n">
        <v>45037</v>
      </c>
      <c r="C332" s="1" t="n">
        <v>45847</v>
      </c>
      <c r="D332" t="inlineStr">
        <is>
          <t>VÄSTERBOTTENS LÄN</t>
        </is>
      </c>
      <c r="E332" t="inlineStr">
        <is>
          <t>NORSJÖ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17914-2023</t>
        </is>
      </c>
      <c r="B333" s="1" t="n">
        <v>45040</v>
      </c>
      <c r="C333" s="1" t="n">
        <v>45847</v>
      </c>
      <c r="D333" t="inlineStr">
        <is>
          <t>VÄSTERBOTTENS LÄN</t>
        </is>
      </c>
      <c r="E333" t="inlineStr">
        <is>
          <t>NORSJÖ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17907-2023</t>
        </is>
      </c>
      <c r="B334" s="1" t="n">
        <v>45040</v>
      </c>
      <c r="C334" s="1" t="n">
        <v>45847</v>
      </c>
      <c r="D334" t="inlineStr">
        <is>
          <t>VÄSTERBOTTENS LÄN</t>
        </is>
      </c>
      <c r="E334" t="inlineStr">
        <is>
          <t>NORSJÖ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18974-2023</t>
        </is>
      </c>
      <c r="B335" s="1" t="n">
        <v>45044</v>
      </c>
      <c r="C335" s="1" t="n">
        <v>45847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19421-2023</t>
        </is>
      </c>
      <c r="B336" s="1" t="n">
        <v>45050</v>
      </c>
      <c r="C336" s="1" t="n">
        <v>45847</v>
      </c>
      <c r="D336" t="inlineStr">
        <is>
          <t>VÄSTERBOTTENS LÄN</t>
        </is>
      </c>
      <c r="E336" t="inlineStr">
        <is>
          <t>NORSJÖ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19646-2023</t>
        </is>
      </c>
      <c r="B337" s="1" t="n">
        <v>45049</v>
      </c>
      <c r="C337" s="1" t="n">
        <v>45847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Kommuner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19423-2023</t>
        </is>
      </c>
      <c r="B338" s="1" t="n">
        <v>45050</v>
      </c>
      <c r="C338" s="1" t="n">
        <v>45847</v>
      </c>
      <c r="D338" t="inlineStr">
        <is>
          <t>VÄSTERBOTTENS LÄN</t>
        </is>
      </c>
      <c r="E338" t="inlineStr">
        <is>
          <t>NORSJÖ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45847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45847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45847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45847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45847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45847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45847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45847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45847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45847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45847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45847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45847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45847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45847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45847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45847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45847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45847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45847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45847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45847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45847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45847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45847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45847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45847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45847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45847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45847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45847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45847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45847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45847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45847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45847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45847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45847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45847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45847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45847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45847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45847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45847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45847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45847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45847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45847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45847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45847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45847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45847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45847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45847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45847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45847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45847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45847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45847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45847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45847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45847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45847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45847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45847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45847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45847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45847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45847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45847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45847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45847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45847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45847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45847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45847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45847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45847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45847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45847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45847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45847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45847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45847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45847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45847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45847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45847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45847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45847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45847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45847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45847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45847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45847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45847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45847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45847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45847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45847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45847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45847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45847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45847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45847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45847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45847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45847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45847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45847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45847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45847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45847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45847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45847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45847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45847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45847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45847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45847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45847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45847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45847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45847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45847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45847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45847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45847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45847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45847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45847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45847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45847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45847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45847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45847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45847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45847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45847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45847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45847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45847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45847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45847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45847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45847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45847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45847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45847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45847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45847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45847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45847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45847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45847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45847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45847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45847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45847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45847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45847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45847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45847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45847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45847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45847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45847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45847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45847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45847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45847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45847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45847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45847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45847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45847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45847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45847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45847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45847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45847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45847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45847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45847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45847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45847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45847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45847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45847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45847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45847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45847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45847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45847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45847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45847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45847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45847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45847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45847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45847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45847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45847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45847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45847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45847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45847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45847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45847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45847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45847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45847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45847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45847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45847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45847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45847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45847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45847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45847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45847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45847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45847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45847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45847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45847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45847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45847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45847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45847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45847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45847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45847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45847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45847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45847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45847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45847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45847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45847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45847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45847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45847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45847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45847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45847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45847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45847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45847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45847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45847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45847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45847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45847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45847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45847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45847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45847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45847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45847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45847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45847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45847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45847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45847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45847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45847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45847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45847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45847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45847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45847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45847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45847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45847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45847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45847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45847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50426-2023</t>
        </is>
      </c>
      <c r="B617" s="1" t="n">
        <v>45216</v>
      </c>
      <c r="C617" s="1" t="n">
        <v>45847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Övriga Aktiebolag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50354-2023</t>
        </is>
      </c>
      <c r="B618" s="1" t="n">
        <v>45216</v>
      </c>
      <c r="C618" s="1" t="n">
        <v>45847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50610-2023</t>
        </is>
      </c>
      <c r="B619" s="1" t="n">
        <v>45217</v>
      </c>
      <c r="C619" s="1" t="n">
        <v>45847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50626-2023</t>
        </is>
      </c>
      <c r="B620" s="1" t="n">
        <v>45217</v>
      </c>
      <c r="C620" s="1" t="n">
        <v>45847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51237-2023</t>
        </is>
      </c>
      <c r="B621" s="1" t="n">
        <v>45219</v>
      </c>
      <c r="C621" s="1" t="n">
        <v>45847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51197-2023</t>
        </is>
      </c>
      <c r="B622" s="1" t="n">
        <v>45219</v>
      </c>
      <c r="C622" s="1" t="n">
        <v>45847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52114-2023</t>
        </is>
      </c>
      <c r="B623" s="1" t="n">
        <v>45223</v>
      </c>
      <c r="C623" s="1" t="n">
        <v>45847</v>
      </c>
      <c r="D623" t="inlineStr">
        <is>
          <t>VÄSTERBOTTENS LÄN</t>
        </is>
      </c>
      <c r="E623" t="inlineStr">
        <is>
          <t>NORSJÖ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52179-2023</t>
        </is>
      </c>
      <c r="B624" s="1" t="n">
        <v>45224</v>
      </c>
      <c r="C624" s="1" t="n">
        <v>45847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52817-2023</t>
        </is>
      </c>
      <c r="B625" s="1" t="n">
        <v>45226</v>
      </c>
      <c r="C625" s="1" t="n">
        <v>45847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53345-2023</t>
        </is>
      </c>
      <c r="B626" s="1" t="n">
        <v>45229</v>
      </c>
      <c r="C626" s="1" t="n">
        <v>45847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55313-2023</t>
        </is>
      </c>
      <c r="B627" s="1" t="n">
        <v>45237</v>
      </c>
      <c r="C627" s="1" t="n">
        <v>45847</v>
      </c>
      <c r="D627" t="inlineStr">
        <is>
          <t>VÄSTERBOTTENS LÄN</t>
        </is>
      </c>
      <c r="E627" t="inlineStr">
        <is>
          <t>NORSJÖ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56061-2023</t>
        </is>
      </c>
      <c r="B628" s="1" t="n">
        <v>45240</v>
      </c>
      <c r="C628" s="1" t="n">
        <v>45847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45847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58524-2023</t>
        </is>
      </c>
      <c r="B630" s="1" t="n">
        <v>45246</v>
      </c>
      <c r="C630" s="1" t="n">
        <v>45847</v>
      </c>
      <c r="D630" t="inlineStr">
        <is>
          <t>VÄSTERBOTTENS LÄN</t>
        </is>
      </c>
      <c r="E630" t="inlineStr">
        <is>
          <t>NORSJÖ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45847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58753-2023</t>
        </is>
      </c>
      <c r="B632" s="1" t="n">
        <v>45251</v>
      </c>
      <c r="C632" s="1" t="n">
        <v>45847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59193-2023</t>
        </is>
      </c>
      <c r="B633" s="1" t="n">
        <v>45252</v>
      </c>
      <c r="C633" s="1" t="n">
        <v>45847</v>
      </c>
      <c r="D633" t="inlineStr">
        <is>
          <t>VÄSTERBOTTENS LÄN</t>
        </is>
      </c>
      <c r="E633" t="inlineStr">
        <is>
          <t>NORSJÖ</t>
        </is>
      </c>
      <c r="G633" t="n">
        <v>12.3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59889-2023</t>
        </is>
      </c>
      <c r="B634" s="1" t="n">
        <v>45257</v>
      </c>
      <c r="C634" s="1" t="n">
        <v>45847</v>
      </c>
      <c r="D634" t="inlineStr">
        <is>
          <t>VÄSTERBOTTENS LÄN</t>
        </is>
      </c>
      <c r="E634" t="inlineStr">
        <is>
          <t>NORSJÖ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45847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45847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60843-2023</t>
        </is>
      </c>
      <c r="B637" s="1" t="n">
        <v>45260</v>
      </c>
      <c r="C637" s="1" t="n">
        <v>45847</v>
      </c>
      <c r="D637" t="inlineStr">
        <is>
          <t>VÄSTERBOTTENS LÄN</t>
        </is>
      </c>
      <c r="E637" t="inlineStr">
        <is>
          <t>NORSJÖ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60844-2023</t>
        </is>
      </c>
      <c r="B638" s="1" t="n">
        <v>45260</v>
      </c>
      <c r="C638" s="1" t="n">
        <v>45847</v>
      </c>
      <c r="D638" t="inlineStr">
        <is>
          <t>VÄSTERBOTTENS LÄN</t>
        </is>
      </c>
      <c r="E638" t="inlineStr">
        <is>
          <t>NORSJÖ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45847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60845-2023</t>
        </is>
      </c>
      <c r="B640" s="1" t="n">
        <v>45260</v>
      </c>
      <c r="C640" s="1" t="n">
        <v>45847</v>
      </c>
      <c r="D640" t="inlineStr">
        <is>
          <t>VÄSTERBOTTENS LÄN</t>
        </is>
      </c>
      <c r="E640" t="inlineStr">
        <is>
          <t>NORSJÖ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62600-2023</t>
        </is>
      </c>
      <c r="B641" s="1" t="n">
        <v>45271</v>
      </c>
      <c r="C641" s="1" t="n">
        <v>45847</v>
      </c>
      <c r="D641" t="inlineStr">
        <is>
          <t>VÄSTERBOTTENS LÄN</t>
        </is>
      </c>
      <c r="E641" t="inlineStr">
        <is>
          <t>NORSJÖ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62743-2023</t>
        </is>
      </c>
      <c r="B642" s="1" t="n">
        <v>45271</v>
      </c>
      <c r="C642" s="1" t="n">
        <v>45847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63319-2023</t>
        </is>
      </c>
      <c r="B643" s="1" t="n">
        <v>45273</v>
      </c>
      <c r="C643" s="1" t="n">
        <v>45847</v>
      </c>
      <c r="D643" t="inlineStr">
        <is>
          <t>VÄSTERBOTTENS LÄN</t>
        </is>
      </c>
      <c r="E643" t="inlineStr">
        <is>
          <t>NORSJÖ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63424-2023</t>
        </is>
      </c>
      <c r="B644" s="1" t="n">
        <v>45274</v>
      </c>
      <c r="C644" s="1" t="n">
        <v>45847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45847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63666-2023</t>
        </is>
      </c>
      <c r="B646" s="1" t="n">
        <v>45275</v>
      </c>
      <c r="C646" s="1" t="n">
        <v>45847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64256-2023</t>
        </is>
      </c>
      <c r="B647" s="1" t="n">
        <v>45279</v>
      </c>
      <c r="C647" s="1" t="n">
        <v>45847</v>
      </c>
      <c r="D647" t="inlineStr">
        <is>
          <t>VÄSTERBOTTENS LÄN</t>
        </is>
      </c>
      <c r="E647" t="inlineStr">
        <is>
          <t>NORSJÖ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45847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64331-2023</t>
        </is>
      </c>
      <c r="B649" s="1" t="n">
        <v>45280</v>
      </c>
      <c r="C649" s="1" t="n">
        <v>45847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65239-2023</t>
        </is>
      </c>
      <c r="B650" s="1" t="n">
        <v>45289</v>
      </c>
      <c r="C650" s="1" t="n">
        <v>45847</v>
      </c>
      <c r="D650" t="inlineStr">
        <is>
          <t>VÄSTERBOTTENS LÄN</t>
        </is>
      </c>
      <c r="E650" t="inlineStr">
        <is>
          <t>NORSJÖ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660-2024</t>
        </is>
      </c>
      <c r="B651" s="1" t="n">
        <v>45299</v>
      </c>
      <c r="C651" s="1" t="n">
        <v>45847</v>
      </c>
      <c r="D651" t="inlineStr">
        <is>
          <t>VÄSTERBOTTENS LÄN</t>
        </is>
      </c>
      <c r="E651" t="inlineStr">
        <is>
          <t>NORSJÖ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793-2024</t>
        </is>
      </c>
      <c r="B652" s="1" t="n">
        <v>45300</v>
      </c>
      <c r="C652" s="1" t="n">
        <v>45847</v>
      </c>
      <c r="D652" t="inlineStr">
        <is>
          <t>VÄSTERBOTTENS LÄN</t>
        </is>
      </c>
      <c r="E652" t="inlineStr">
        <is>
          <t>NORSJÖ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1550-2024</t>
        </is>
      </c>
      <c r="B653" s="1" t="n">
        <v>45306</v>
      </c>
      <c r="C653" s="1" t="n">
        <v>45847</v>
      </c>
      <c r="D653" t="inlineStr">
        <is>
          <t>VÄSTERBOTTENS LÄN</t>
        </is>
      </c>
      <c r="E653" t="inlineStr">
        <is>
          <t>NORSJÖ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1565-2024</t>
        </is>
      </c>
      <c r="B654" s="1" t="n">
        <v>45306</v>
      </c>
      <c r="C654" s="1" t="n">
        <v>45847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23.6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2370-2024</t>
        </is>
      </c>
      <c r="B655" s="1" t="n">
        <v>45310</v>
      </c>
      <c r="C655" s="1" t="n">
        <v>45847</v>
      </c>
      <c r="D655" t="inlineStr">
        <is>
          <t>VÄSTERBOTTENS LÄN</t>
        </is>
      </c>
      <c r="E655" t="inlineStr">
        <is>
          <t>NORSJÖ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3802-2024</t>
        </is>
      </c>
      <c r="B656" s="1" t="n">
        <v>45321</v>
      </c>
      <c r="C656" s="1" t="n">
        <v>45847</v>
      </c>
      <c r="D656" t="inlineStr">
        <is>
          <t>VÄSTERBOTTENS LÄN</t>
        </is>
      </c>
      <c r="E656" t="inlineStr">
        <is>
          <t>NORSJÖ</t>
        </is>
      </c>
      <c r="G656" t="n">
        <v>16.3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4477-2024</t>
        </is>
      </c>
      <c r="B657" s="1" t="n">
        <v>45327</v>
      </c>
      <c r="C657" s="1" t="n">
        <v>45847</v>
      </c>
      <c r="D657" t="inlineStr">
        <is>
          <t>VÄSTERBOTTENS LÄN</t>
        </is>
      </c>
      <c r="E657" t="inlineStr">
        <is>
          <t>NORSJÖ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4482-2024</t>
        </is>
      </c>
      <c r="B658" s="1" t="n">
        <v>45327</v>
      </c>
      <c r="C658" s="1" t="n">
        <v>45847</v>
      </c>
      <c r="D658" t="inlineStr">
        <is>
          <t>VÄSTERBOTTENS LÄN</t>
        </is>
      </c>
      <c r="E658" t="inlineStr">
        <is>
          <t>NORSJÖ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4702-2024</t>
        </is>
      </c>
      <c r="B659" s="1" t="n">
        <v>45328</v>
      </c>
      <c r="C659" s="1" t="n">
        <v>45847</v>
      </c>
      <c r="D659" t="inlineStr">
        <is>
          <t>VÄSTERBOTTENS LÄN</t>
        </is>
      </c>
      <c r="E659" t="inlineStr">
        <is>
          <t>NORSJÖ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5430-2024</t>
        </is>
      </c>
      <c r="B660" s="1" t="n">
        <v>45331</v>
      </c>
      <c r="C660" s="1" t="n">
        <v>45847</v>
      </c>
      <c r="D660" t="inlineStr">
        <is>
          <t>VÄSTERBOTTENS LÄN</t>
        </is>
      </c>
      <c r="E660" t="inlineStr">
        <is>
          <t>NORSJÖ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6075-2024</t>
        </is>
      </c>
      <c r="B661" s="1" t="n">
        <v>45336</v>
      </c>
      <c r="C661" s="1" t="n">
        <v>45847</v>
      </c>
      <c r="D661" t="inlineStr">
        <is>
          <t>VÄSTERBOTTENS LÄN</t>
        </is>
      </c>
      <c r="E661" t="inlineStr">
        <is>
          <t>NORSJÖ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6079-2024</t>
        </is>
      </c>
      <c r="B662" s="1" t="n">
        <v>45336</v>
      </c>
      <c r="C662" s="1" t="n">
        <v>45847</v>
      </c>
      <c r="D662" t="inlineStr">
        <is>
          <t>VÄSTERBOTTENS LÄN</t>
        </is>
      </c>
      <c r="E662" t="inlineStr">
        <is>
          <t>NORSJÖ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45847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6499-2024</t>
        </is>
      </c>
      <c r="B664" s="1" t="n">
        <v>45339</v>
      </c>
      <c r="C664" s="1" t="n">
        <v>45847</v>
      </c>
      <c r="D664" t="inlineStr">
        <is>
          <t>VÄSTERBOTTENS LÄN</t>
        </is>
      </c>
      <c r="E664" t="inlineStr">
        <is>
          <t>NORSJÖ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6527-2024</t>
        </is>
      </c>
      <c r="B665" s="1" t="n">
        <v>45341</v>
      </c>
      <c r="C665" s="1" t="n">
        <v>45847</v>
      </c>
      <c r="D665" t="inlineStr">
        <is>
          <t>VÄSTERBOTTENS LÄN</t>
        </is>
      </c>
      <c r="E665" t="inlineStr">
        <is>
          <t>NORSJÖ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6667-2024</t>
        </is>
      </c>
      <c r="B666" s="1" t="n">
        <v>45341</v>
      </c>
      <c r="C666" s="1" t="n">
        <v>45847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6757-2024</t>
        </is>
      </c>
      <c r="B667" s="1" t="n">
        <v>45342</v>
      </c>
      <c r="C667" s="1" t="n">
        <v>45847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6773-2024</t>
        </is>
      </c>
      <c r="B668" s="1" t="n">
        <v>45342</v>
      </c>
      <c r="C668" s="1" t="n">
        <v>45847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7081-2024</t>
        </is>
      </c>
      <c r="B669" s="1" t="n">
        <v>45343</v>
      </c>
      <c r="C669" s="1" t="n">
        <v>45847</v>
      </c>
      <c r="D669" t="inlineStr">
        <is>
          <t>VÄSTERBOTTENS LÄN</t>
        </is>
      </c>
      <c r="E669" t="inlineStr">
        <is>
          <t>NORSJÖ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7178-2024</t>
        </is>
      </c>
      <c r="B670" s="1" t="n">
        <v>45344</v>
      </c>
      <c r="C670" s="1" t="n">
        <v>45847</v>
      </c>
      <c r="D670" t="inlineStr">
        <is>
          <t>VÄSTERBOTTENS LÄN</t>
        </is>
      </c>
      <c r="E670" t="inlineStr">
        <is>
          <t>NORSJÖ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7282-2024</t>
        </is>
      </c>
      <c r="B671" s="1" t="n">
        <v>45344</v>
      </c>
      <c r="C671" s="1" t="n">
        <v>45847</v>
      </c>
      <c r="D671" t="inlineStr">
        <is>
          <t>VÄSTERBOTTENS LÄN</t>
        </is>
      </c>
      <c r="E671" t="inlineStr">
        <is>
          <t>NORSJÖ</t>
        </is>
      </c>
      <c r="G671" t="n">
        <v>16.1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8607-2024</t>
        </is>
      </c>
      <c r="B672" s="1" t="n">
        <v>45355</v>
      </c>
      <c r="C672" s="1" t="n">
        <v>45847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8730-2024</t>
        </is>
      </c>
      <c r="B673" s="1" t="n">
        <v>45355</v>
      </c>
      <c r="C673" s="1" t="n">
        <v>45847</v>
      </c>
      <c r="D673" t="inlineStr">
        <is>
          <t>VÄSTERBOTTENS LÄN</t>
        </is>
      </c>
      <c r="E673" t="inlineStr">
        <is>
          <t>NORSJÖ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8786-2024</t>
        </is>
      </c>
      <c r="B674" s="1" t="n">
        <v>45356</v>
      </c>
      <c r="C674" s="1" t="n">
        <v>45847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9323-2024</t>
        </is>
      </c>
      <c r="B675" s="1" t="n">
        <v>45358</v>
      </c>
      <c r="C675" s="1" t="n">
        <v>45847</v>
      </c>
      <c r="D675" t="inlineStr">
        <is>
          <t>VÄSTERBOTTENS LÄN</t>
        </is>
      </c>
      <c r="E675" t="inlineStr">
        <is>
          <t>NORSJÖ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9724-2024</t>
        </is>
      </c>
      <c r="B676" s="1" t="n">
        <v>45362</v>
      </c>
      <c r="C676" s="1" t="n">
        <v>45847</v>
      </c>
      <c r="D676" t="inlineStr">
        <is>
          <t>VÄSTERBOTTENS LÄN</t>
        </is>
      </c>
      <c r="E676" t="inlineStr">
        <is>
          <t>NORSJÖ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9814-2024</t>
        </is>
      </c>
      <c r="B677" s="1" t="n">
        <v>45363</v>
      </c>
      <c r="C677" s="1" t="n">
        <v>45847</v>
      </c>
      <c r="D677" t="inlineStr">
        <is>
          <t>VÄSTERBOTTENS LÄN</t>
        </is>
      </c>
      <c r="E677" t="inlineStr">
        <is>
          <t>NORSJÖ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10024-2024</t>
        </is>
      </c>
      <c r="B678" s="1" t="n">
        <v>45363</v>
      </c>
      <c r="C678" s="1" t="n">
        <v>45847</v>
      </c>
      <c r="D678" t="inlineStr">
        <is>
          <t>VÄSTERBOTTENS LÄN</t>
        </is>
      </c>
      <c r="E678" t="inlineStr">
        <is>
          <t>NORSJÖ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10025-2024</t>
        </is>
      </c>
      <c r="B679" s="1" t="n">
        <v>45364</v>
      </c>
      <c r="C679" s="1" t="n">
        <v>45847</v>
      </c>
      <c r="D679" t="inlineStr">
        <is>
          <t>VÄSTERBOTTENS LÄN</t>
        </is>
      </c>
      <c r="E679" t="inlineStr">
        <is>
          <t>NORSJÖ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10027-2024</t>
        </is>
      </c>
      <c r="B680" s="1" t="n">
        <v>45363</v>
      </c>
      <c r="C680" s="1" t="n">
        <v>45847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11531-2024</t>
        </is>
      </c>
      <c r="B681" s="1" t="n">
        <v>45372</v>
      </c>
      <c r="C681" s="1" t="n">
        <v>45847</v>
      </c>
      <c r="D681" t="inlineStr">
        <is>
          <t>VÄSTERBOTTENS LÄN</t>
        </is>
      </c>
      <c r="E681" t="inlineStr">
        <is>
          <t>NORSJÖ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12321-2024</t>
        </is>
      </c>
      <c r="B682" s="1" t="n">
        <v>45377</v>
      </c>
      <c r="C682" s="1" t="n">
        <v>45847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12317-2024</t>
        </is>
      </c>
      <c r="B683" s="1" t="n">
        <v>45377</v>
      </c>
      <c r="C683" s="1" t="n">
        <v>45847</v>
      </c>
      <c r="D683" t="inlineStr">
        <is>
          <t>VÄSTERBOTTENS LÄN</t>
        </is>
      </c>
      <c r="E683" t="inlineStr">
        <is>
          <t>NORSJÖ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12800-2024</t>
        </is>
      </c>
      <c r="B684" s="1" t="n">
        <v>45384</v>
      </c>
      <c r="C684" s="1" t="n">
        <v>45847</v>
      </c>
      <c r="D684" t="inlineStr">
        <is>
          <t>VÄSTERBOTTENS LÄN</t>
        </is>
      </c>
      <c r="E684" t="inlineStr">
        <is>
          <t>NORSJÖ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12805-2024</t>
        </is>
      </c>
      <c r="B685" s="1" t="n">
        <v>45384</v>
      </c>
      <c r="C685" s="1" t="n">
        <v>45847</v>
      </c>
      <c r="D685" t="inlineStr">
        <is>
          <t>VÄSTERBOTTENS LÄN</t>
        </is>
      </c>
      <c r="E685" t="inlineStr">
        <is>
          <t>NORSJÖ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13240-2024</t>
        </is>
      </c>
      <c r="B686" s="1" t="n">
        <v>45386</v>
      </c>
      <c r="C686" s="1" t="n">
        <v>45847</v>
      </c>
      <c r="D686" t="inlineStr">
        <is>
          <t>VÄSTERBOTTENS LÄN</t>
        </is>
      </c>
      <c r="E686" t="inlineStr">
        <is>
          <t>NORSJÖ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14361-2024</t>
        </is>
      </c>
      <c r="B687" s="1" t="n">
        <v>45394</v>
      </c>
      <c r="C687" s="1" t="n">
        <v>45847</v>
      </c>
      <c r="D687" t="inlineStr">
        <is>
          <t>VÄSTERBOTTENS LÄN</t>
        </is>
      </c>
      <c r="E687" t="inlineStr">
        <is>
          <t>NORSJÖ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14998-2024</t>
        </is>
      </c>
      <c r="B688" s="1" t="n">
        <v>45399</v>
      </c>
      <c r="C688" s="1" t="n">
        <v>45847</v>
      </c>
      <c r="D688" t="inlineStr">
        <is>
          <t>VÄSTERBOTTENS LÄN</t>
        </is>
      </c>
      <c r="E688" t="inlineStr">
        <is>
          <t>NORSJÖ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16228-2024</t>
        </is>
      </c>
      <c r="B689" s="1" t="n">
        <v>45406</v>
      </c>
      <c r="C689" s="1" t="n">
        <v>45847</v>
      </c>
      <c r="D689" t="inlineStr">
        <is>
          <t>VÄSTERBOTTENS LÄN</t>
        </is>
      </c>
      <c r="E689" t="inlineStr">
        <is>
          <t>NORSJÖ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16407-2024</t>
        </is>
      </c>
      <c r="B690" s="1" t="n">
        <v>45407</v>
      </c>
      <c r="C690" s="1" t="n">
        <v>45847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18165-2024</t>
        </is>
      </c>
      <c r="B691" s="1" t="n">
        <v>45420</v>
      </c>
      <c r="C691" s="1" t="n">
        <v>45847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18421-2024</t>
        </is>
      </c>
      <c r="B692" s="1" t="n">
        <v>45425</v>
      </c>
      <c r="C692" s="1" t="n">
        <v>45847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18605-2024</t>
        </is>
      </c>
      <c r="B693" s="1" t="n">
        <v>45425</v>
      </c>
      <c r="C693" s="1" t="n">
        <v>45847</v>
      </c>
      <c r="D693" t="inlineStr">
        <is>
          <t>VÄSTERBOTTENS LÄN</t>
        </is>
      </c>
      <c r="E693" t="inlineStr">
        <is>
          <t>NORSJÖ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18850-2024</t>
        </is>
      </c>
      <c r="B694" s="1" t="n">
        <v>45426</v>
      </c>
      <c r="C694" s="1" t="n">
        <v>45847</v>
      </c>
      <c r="D694" t="inlineStr">
        <is>
          <t>VÄSTERBOTTENS LÄN</t>
        </is>
      </c>
      <c r="E694" t="inlineStr">
        <is>
          <t>NORSJÖ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18853-2024</t>
        </is>
      </c>
      <c r="B695" s="1" t="n">
        <v>45426</v>
      </c>
      <c r="C695" s="1" t="n">
        <v>45847</v>
      </c>
      <c r="D695" t="inlineStr">
        <is>
          <t>VÄSTERBOTTENS LÄN</t>
        </is>
      </c>
      <c r="E695" t="inlineStr">
        <is>
          <t>NORSJÖ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18868-2024</t>
        </is>
      </c>
      <c r="B696" s="1" t="n">
        <v>45426</v>
      </c>
      <c r="C696" s="1" t="n">
        <v>45847</v>
      </c>
      <c r="D696" t="inlineStr">
        <is>
          <t>VÄSTERBOTTENS LÄN</t>
        </is>
      </c>
      <c r="E696" t="inlineStr">
        <is>
          <t>NORSJÖ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19313-2024</t>
        </is>
      </c>
      <c r="B697" s="1" t="n">
        <v>45428</v>
      </c>
      <c r="C697" s="1" t="n">
        <v>45847</v>
      </c>
      <c r="D697" t="inlineStr">
        <is>
          <t>VÄSTERBOTTENS LÄN</t>
        </is>
      </c>
      <c r="E697" t="inlineStr">
        <is>
          <t>NORSJÖ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19412-2024</t>
        </is>
      </c>
      <c r="B698" s="1" t="n">
        <v>45429</v>
      </c>
      <c r="C698" s="1" t="n">
        <v>45847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19472-2024</t>
        </is>
      </c>
      <c r="B699" s="1" t="n">
        <v>45429</v>
      </c>
      <c r="C699" s="1" t="n">
        <v>45847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19731-2024</t>
        </is>
      </c>
      <c r="B700" s="1" t="n">
        <v>45432</v>
      </c>
      <c r="C700" s="1" t="n">
        <v>45847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19796-2024</t>
        </is>
      </c>
      <c r="B701" s="1" t="n">
        <v>45433</v>
      </c>
      <c r="C701" s="1" t="n">
        <v>45847</v>
      </c>
      <c r="D701" t="inlineStr">
        <is>
          <t>VÄSTERBOTTENS LÄN</t>
        </is>
      </c>
      <c r="E701" t="inlineStr">
        <is>
          <t>NORSJÖ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19744-2024</t>
        </is>
      </c>
      <c r="B702" s="1" t="n">
        <v>45432</v>
      </c>
      <c r="C702" s="1" t="n">
        <v>45847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19853-2024</t>
        </is>
      </c>
      <c r="B703" s="1" t="n">
        <v>45433</v>
      </c>
      <c r="C703" s="1" t="n">
        <v>45847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19870-2024</t>
        </is>
      </c>
      <c r="B704" s="1" t="n">
        <v>45433</v>
      </c>
      <c r="C704" s="1" t="n">
        <v>45847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20190-2024</t>
        </is>
      </c>
      <c r="B705" s="1" t="n">
        <v>45434</v>
      </c>
      <c r="C705" s="1" t="n">
        <v>45847</v>
      </c>
      <c r="D705" t="inlineStr">
        <is>
          <t>VÄSTERBOTTENS LÄN</t>
        </is>
      </c>
      <c r="E705" t="inlineStr">
        <is>
          <t>NORSJÖ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20577-2024</t>
        </is>
      </c>
      <c r="B706" s="1" t="n">
        <v>45436</v>
      </c>
      <c r="C706" s="1" t="n">
        <v>45847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21002-2024</t>
        </is>
      </c>
      <c r="B707" s="1" t="n">
        <v>45439</v>
      </c>
      <c r="C707" s="1" t="n">
        <v>45847</v>
      </c>
      <c r="D707" t="inlineStr">
        <is>
          <t>VÄSTERBOTTENS LÄN</t>
        </is>
      </c>
      <c r="E707" t="inlineStr">
        <is>
          <t>NORSJÖ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20997-2024</t>
        </is>
      </c>
      <c r="B708" s="1" t="n">
        <v>45439</v>
      </c>
      <c r="C708" s="1" t="n">
        <v>45847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21012-2024</t>
        </is>
      </c>
      <c r="B709" s="1" t="n">
        <v>45439</v>
      </c>
      <c r="C709" s="1" t="n">
        <v>45847</v>
      </c>
      <c r="D709" t="inlineStr">
        <is>
          <t>VÄSTERBOTTENS LÄN</t>
        </is>
      </c>
      <c r="E709" t="inlineStr">
        <is>
          <t>NORSJÖ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21183-2024</t>
        </is>
      </c>
      <c r="B710" s="1" t="n">
        <v>45440</v>
      </c>
      <c r="C710" s="1" t="n">
        <v>45847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21292-2024</t>
        </is>
      </c>
      <c r="B711" s="1" t="n">
        <v>45440</v>
      </c>
      <c r="C711" s="1" t="n">
        <v>45847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21142-2024</t>
        </is>
      </c>
      <c r="B712" s="1" t="n">
        <v>45440</v>
      </c>
      <c r="C712" s="1" t="n">
        <v>45847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21340-2024</t>
        </is>
      </c>
      <c r="B713" s="1" t="n">
        <v>45441</v>
      </c>
      <c r="C713" s="1" t="n">
        <v>45847</v>
      </c>
      <c r="D713" t="inlineStr">
        <is>
          <t>VÄSTERBOTTENS LÄN</t>
        </is>
      </c>
      <c r="E713" t="inlineStr">
        <is>
          <t>NORSJÖ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21600-2024</t>
        </is>
      </c>
      <c r="B714" s="1" t="n">
        <v>45441</v>
      </c>
      <c r="C714" s="1" t="n">
        <v>45847</v>
      </c>
      <c r="D714" t="inlineStr">
        <is>
          <t>VÄSTERBOTTENS LÄN</t>
        </is>
      </c>
      <c r="E714" t="inlineStr">
        <is>
          <t>NORSJÖ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21746-2024</t>
        </is>
      </c>
      <c r="B715" s="1" t="n">
        <v>45442</v>
      </c>
      <c r="C715" s="1" t="n">
        <v>45847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21832-2024</t>
        </is>
      </c>
      <c r="B716" s="1" t="n">
        <v>45443</v>
      </c>
      <c r="C716" s="1" t="n">
        <v>45847</v>
      </c>
      <c r="D716" t="inlineStr">
        <is>
          <t>VÄSTERBOTTENS LÄN</t>
        </is>
      </c>
      <c r="E716" t="inlineStr">
        <is>
          <t>NORSJÖ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22608-2024</t>
        </is>
      </c>
      <c r="B717" s="1" t="n">
        <v>45447</v>
      </c>
      <c r="C717" s="1" t="n">
        <v>45847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22583-2024</t>
        </is>
      </c>
      <c r="B718" s="1" t="n">
        <v>45447</v>
      </c>
      <c r="C718" s="1" t="n">
        <v>45847</v>
      </c>
      <c r="D718" t="inlineStr">
        <is>
          <t>VÄSTERBOTTENS LÄN</t>
        </is>
      </c>
      <c r="E718" t="inlineStr">
        <is>
          <t>NORSJÖ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22589-2024</t>
        </is>
      </c>
      <c r="B719" s="1" t="n">
        <v>45447</v>
      </c>
      <c r="C719" s="1" t="n">
        <v>45847</v>
      </c>
      <c r="D719" t="inlineStr">
        <is>
          <t>VÄSTERBOTTENS LÄN</t>
        </is>
      </c>
      <c r="E719" t="inlineStr">
        <is>
          <t>NORSJÖ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23030-2024</t>
        </is>
      </c>
      <c r="B720" s="1" t="n">
        <v>45450</v>
      </c>
      <c r="C720" s="1" t="n">
        <v>45847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23172-2024</t>
        </is>
      </c>
      <c r="B721" s="1" t="n">
        <v>45451</v>
      </c>
      <c r="C721" s="1" t="n">
        <v>45847</v>
      </c>
      <c r="D721" t="inlineStr">
        <is>
          <t>VÄSTERBOTTENS LÄN</t>
        </is>
      </c>
      <c r="E721" t="inlineStr">
        <is>
          <t>NORSJÖ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23170-2024</t>
        </is>
      </c>
      <c r="B722" s="1" t="n">
        <v>45451</v>
      </c>
      <c r="C722" s="1" t="n">
        <v>45847</v>
      </c>
      <c r="D722" t="inlineStr">
        <is>
          <t>VÄSTERBOTTENS LÄN</t>
        </is>
      </c>
      <c r="E722" t="inlineStr">
        <is>
          <t>NORSJÖ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23171-2024</t>
        </is>
      </c>
      <c r="B723" s="1" t="n">
        <v>45450</v>
      </c>
      <c r="C723" s="1" t="n">
        <v>45847</v>
      </c>
      <c r="D723" t="inlineStr">
        <is>
          <t>VÄSTERBOTTENS LÄN</t>
        </is>
      </c>
      <c r="E723" t="inlineStr">
        <is>
          <t>NORSJÖ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23173-2024</t>
        </is>
      </c>
      <c r="B724" s="1" t="n">
        <v>45451</v>
      </c>
      <c r="C724" s="1" t="n">
        <v>45847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23509-2024</t>
        </is>
      </c>
      <c r="B725" s="1" t="n">
        <v>45453</v>
      </c>
      <c r="C725" s="1" t="n">
        <v>45847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23575-2024</t>
        </is>
      </c>
      <c r="B726" s="1" t="n">
        <v>45454</v>
      </c>
      <c r="C726" s="1" t="n">
        <v>45847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23622-2024</t>
        </is>
      </c>
      <c r="B727" s="1" t="n">
        <v>45454</v>
      </c>
      <c r="C727" s="1" t="n">
        <v>45847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24399-2024</t>
        </is>
      </c>
      <c r="B728" s="1" t="n">
        <v>45457</v>
      </c>
      <c r="C728" s="1" t="n">
        <v>45847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24938-2024</t>
        </is>
      </c>
      <c r="B729" s="1" t="n">
        <v>45461</v>
      </c>
      <c r="C729" s="1" t="n">
        <v>45847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25017-2024</t>
        </is>
      </c>
      <c r="B730" s="1" t="n">
        <v>45461</v>
      </c>
      <c r="C730" s="1" t="n">
        <v>45847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25352-2024</t>
        </is>
      </c>
      <c r="B731" s="1" t="n">
        <v>45462</v>
      </c>
      <c r="C731" s="1" t="n">
        <v>45847</v>
      </c>
      <c r="D731" t="inlineStr">
        <is>
          <t>VÄSTERBOTTENS LÄN</t>
        </is>
      </c>
      <c r="E731" t="inlineStr">
        <is>
          <t>NORSJÖ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25161-2024</t>
        </is>
      </c>
      <c r="B732" s="1" t="n">
        <v>45462</v>
      </c>
      <c r="C732" s="1" t="n">
        <v>45847</v>
      </c>
      <c r="D732" t="inlineStr">
        <is>
          <t>VÄSTERBOTTENS LÄN</t>
        </is>
      </c>
      <c r="E732" t="inlineStr">
        <is>
          <t>NORSJÖ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25084-2024</t>
        </is>
      </c>
      <c r="B733" s="1" t="n">
        <v>45462</v>
      </c>
      <c r="C733" s="1" t="n">
        <v>45847</v>
      </c>
      <c r="D733" t="inlineStr">
        <is>
          <t>VÄSTERBOTTENS LÄN</t>
        </is>
      </c>
      <c r="E733" t="inlineStr">
        <is>
          <t>NORSJÖ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25172-2024</t>
        </is>
      </c>
      <c r="B734" s="1" t="n">
        <v>45462</v>
      </c>
      <c r="C734" s="1" t="n">
        <v>45847</v>
      </c>
      <c r="D734" t="inlineStr">
        <is>
          <t>VÄSTERBOTTENS LÄN</t>
        </is>
      </c>
      <c r="E734" t="inlineStr">
        <is>
          <t>NORSJÖ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25080-2024</t>
        </is>
      </c>
      <c r="B735" s="1" t="n">
        <v>45462</v>
      </c>
      <c r="C735" s="1" t="n">
        <v>45847</v>
      </c>
      <c r="D735" t="inlineStr">
        <is>
          <t>VÄSTERBOTTENS LÄN</t>
        </is>
      </c>
      <c r="E735" t="inlineStr">
        <is>
          <t>NORSJÖ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25142-2024</t>
        </is>
      </c>
      <c r="B736" s="1" t="n">
        <v>45462</v>
      </c>
      <c r="C736" s="1" t="n">
        <v>45847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25122-2024</t>
        </is>
      </c>
      <c r="B737" s="1" t="n">
        <v>45462</v>
      </c>
      <c r="C737" s="1" t="n">
        <v>45847</v>
      </c>
      <c r="D737" t="inlineStr">
        <is>
          <t>VÄSTERBOTTENS LÄN</t>
        </is>
      </c>
      <c r="E737" t="inlineStr">
        <is>
          <t>NORSJÖ</t>
        </is>
      </c>
      <c r="F737" t="inlineStr">
        <is>
          <t>Sveaskog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25074-2024</t>
        </is>
      </c>
      <c r="B738" s="1" t="n">
        <v>45462</v>
      </c>
      <c r="C738" s="1" t="n">
        <v>45847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25395-2024</t>
        </is>
      </c>
      <c r="B739" s="1" t="n">
        <v>45463</v>
      </c>
      <c r="C739" s="1" t="n">
        <v>45847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25545-2024</t>
        </is>
      </c>
      <c r="B740" s="1" t="n">
        <v>45463</v>
      </c>
      <c r="C740" s="1" t="n">
        <v>45847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25473-2024</t>
        </is>
      </c>
      <c r="B741" s="1" t="n">
        <v>45463</v>
      </c>
      <c r="C741" s="1" t="n">
        <v>45847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25727-2024</t>
        </is>
      </c>
      <c r="B742" s="1" t="n">
        <v>45464</v>
      </c>
      <c r="C742" s="1" t="n">
        <v>45847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26464-2024</t>
        </is>
      </c>
      <c r="B743" s="1" t="n">
        <v>45468</v>
      </c>
      <c r="C743" s="1" t="n">
        <v>45847</v>
      </c>
      <c r="D743" t="inlineStr">
        <is>
          <t>VÄSTERBOTTENS LÄN</t>
        </is>
      </c>
      <c r="E743" t="inlineStr">
        <is>
          <t>NORSJÖ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26385-2024</t>
        </is>
      </c>
      <c r="B744" s="1" t="n">
        <v>45469</v>
      </c>
      <c r="C744" s="1" t="n">
        <v>45847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26541-2024</t>
        </is>
      </c>
      <c r="B745" s="1" t="n">
        <v>45469</v>
      </c>
      <c r="C745" s="1" t="n">
        <v>45847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26704-2024</t>
        </is>
      </c>
      <c r="B746" s="1" t="n">
        <v>45469</v>
      </c>
      <c r="C746" s="1" t="n">
        <v>45847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26720-2024</t>
        </is>
      </c>
      <c r="B747" s="1" t="n">
        <v>45469</v>
      </c>
      <c r="C747" s="1" t="n">
        <v>45847</v>
      </c>
      <c r="D747" t="inlineStr">
        <is>
          <t>VÄSTERBOTTENS LÄN</t>
        </is>
      </c>
      <c r="E747" t="inlineStr">
        <is>
          <t>NORSJÖ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26716-2024</t>
        </is>
      </c>
      <c r="B748" s="1" t="n">
        <v>45469</v>
      </c>
      <c r="C748" s="1" t="n">
        <v>45847</v>
      </c>
      <c r="D748" t="inlineStr">
        <is>
          <t>VÄSTERBOTTENS LÄN</t>
        </is>
      </c>
      <c r="E748" t="inlineStr">
        <is>
          <t>NORSJÖ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26707-2024</t>
        </is>
      </c>
      <c r="B749" s="1" t="n">
        <v>45469</v>
      </c>
      <c r="C749" s="1" t="n">
        <v>45847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26931-2024</t>
        </is>
      </c>
      <c r="B750" s="1" t="n">
        <v>45471</v>
      </c>
      <c r="C750" s="1" t="n">
        <v>45847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26926-2024</t>
        </is>
      </c>
      <c r="B751" s="1" t="n">
        <v>45470</v>
      </c>
      <c r="C751" s="1" t="n">
        <v>45847</v>
      </c>
      <c r="D751" t="inlineStr">
        <is>
          <t>VÄSTERBOTTENS LÄN</t>
        </is>
      </c>
      <c r="E751" t="inlineStr">
        <is>
          <t>NORSJÖ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26870-2024</t>
        </is>
      </c>
      <c r="B752" s="1" t="n">
        <v>45470</v>
      </c>
      <c r="C752" s="1" t="n">
        <v>45847</v>
      </c>
      <c r="D752" t="inlineStr">
        <is>
          <t>VÄSTERBOTTENS LÄN</t>
        </is>
      </c>
      <c r="E752" t="inlineStr">
        <is>
          <t>NORSJÖ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26978-2024</t>
        </is>
      </c>
      <c r="B753" s="1" t="n">
        <v>45471</v>
      </c>
      <c r="C753" s="1" t="n">
        <v>45847</v>
      </c>
      <c r="D753" t="inlineStr">
        <is>
          <t>VÄSTERBOTTENS LÄN</t>
        </is>
      </c>
      <c r="E753" t="inlineStr">
        <is>
          <t>NORSJÖ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27131-2024</t>
        </is>
      </c>
      <c r="B754" s="1" t="n">
        <v>45471</v>
      </c>
      <c r="C754" s="1" t="n">
        <v>45847</v>
      </c>
      <c r="D754" t="inlineStr">
        <is>
          <t>VÄSTERBOTTENS LÄN</t>
        </is>
      </c>
      <c r="E754" t="inlineStr">
        <is>
          <t>NORSJÖ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27282-2024</t>
        </is>
      </c>
      <c r="B755" s="1" t="n">
        <v>45472</v>
      </c>
      <c r="C755" s="1" t="n">
        <v>45847</v>
      </c>
      <c r="D755" t="inlineStr">
        <is>
          <t>VÄSTERBOTTENS LÄN</t>
        </is>
      </c>
      <c r="E755" t="inlineStr">
        <is>
          <t>NORSJÖ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27457-2024</t>
        </is>
      </c>
      <c r="B756" s="1" t="n">
        <v>45474</v>
      </c>
      <c r="C756" s="1" t="n">
        <v>45847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20.6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28808-2024</t>
        </is>
      </c>
      <c r="B757" s="1" t="n">
        <v>45478</v>
      </c>
      <c r="C757" s="1" t="n">
        <v>45847</v>
      </c>
      <c r="D757" t="inlineStr">
        <is>
          <t>VÄSTERBOTTENS LÄN</t>
        </is>
      </c>
      <c r="E757" t="inlineStr">
        <is>
          <t>NORSJÖ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28805-2024</t>
        </is>
      </c>
      <c r="B758" s="1" t="n">
        <v>45478</v>
      </c>
      <c r="C758" s="1" t="n">
        <v>45847</v>
      </c>
      <c r="D758" t="inlineStr">
        <is>
          <t>VÄSTERBOTTENS LÄN</t>
        </is>
      </c>
      <c r="E758" t="inlineStr">
        <is>
          <t>NORSJÖ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28858-2024</t>
        </is>
      </c>
      <c r="B759" s="1" t="n">
        <v>45479</v>
      </c>
      <c r="C759" s="1" t="n">
        <v>45847</v>
      </c>
      <c r="D759" t="inlineStr">
        <is>
          <t>VÄSTERBOTTENS LÄN</t>
        </is>
      </c>
      <c r="E759" t="inlineStr">
        <is>
          <t>NORSJÖ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28802-2024</t>
        </is>
      </c>
      <c r="B760" s="1" t="n">
        <v>45478</v>
      </c>
      <c r="C760" s="1" t="n">
        <v>45847</v>
      </c>
      <c r="D760" t="inlineStr">
        <is>
          <t>VÄSTERBOTTENS LÄN</t>
        </is>
      </c>
      <c r="E760" t="inlineStr">
        <is>
          <t>NORSJÖ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28649-2024</t>
        </is>
      </c>
      <c r="B761" s="1" t="n">
        <v>45478</v>
      </c>
      <c r="C761" s="1" t="n">
        <v>45847</v>
      </c>
      <c r="D761" t="inlineStr">
        <is>
          <t>VÄSTERBOTTENS LÄN</t>
        </is>
      </c>
      <c r="E761" t="inlineStr">
        <is>
          <t>NORSJÖ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29042-2024</t>
        </is>
      </c>
      <c r="B762" s="1" t="n">
        <v>45481</v>
      </c>
      <c r="C762" s="1" t="n">
        <v>45847</v>
      </c>
      <c r="D762" t="inlineStr">
        <is>
          <t>VÄSTERBOTTENS LÄN</t>
        </is>
      </c>
      <c r="E762" t="inlineStr">
        <is>
          <t>NORSJÖ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29121-2024</t>
        </is>
      </c>
      <c r="B763" s="1" t="n">
        <v>45482</v>
      </c>
      <c r="C763" s="1" t="n">
        <v>45847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30023-2024</t>
        </is>
      </c>
      <c r="B764" s="1" t="n">
        <v>45485</v>
      </c>
      <c r="C764" s="1" t="n">
        <v>45847</v>
      </c>
      <c r="D764" t="inlineStr">
        <is>
          <t>VÄSTERBOTTENS LÄN</t>
        </is>
      </c>
      <c r="E764" t="inlineStr">
        <is>
          <t>NORSJÖ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29714-2024</t>
        </is>
      </c>
      <c r="B765" s="1" t="n">
        <v>45485</v>
      </c>
      <c r="C765" s="1" t="n">
        <v>45847</v>
      </c>
      <c r="D765" t="inlineStr">
        <is>
          <t>VÄSTERBOTTENS LÄN</t>
        </is>
      </c>
      <c r="E765" t="inlineStr">
        <is>
          <t>NORSJÖ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29733-2024</t>
        </is>
      </c>
      <c r="B766" s="1" t="n">
        <v>45485</v>
      </c>
      <c r="C766" s="1" t="n">
        <v>45847</v>
      </c>
      <c r="D766" t="inlineStr">
        <is>
          <t>VÄSTERBOTTENS LÄN</t>
        </is>
      </c>
      <c r="E766" t="inlineStr">
        <is>
          <t>NORSJÖ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30019-2024</t>
        </is>
      </c>
      <c r="B767" s="1" t="n">
        <v>45485</v>
      </c>
      <c r="C767" s="1" t="n">
        <v>45847</v>
      </c>
      <c r="D767" t="inlineStr">
        <is>
          <t>VÄSTERBOTTENS LÄN</t>
        </is>
      </c>
      <c r="E767" t="inlineStr">
        <is>
          <t>NORSJÖ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30027-2024</t>
        </is>
      </c>
      <c r="B768" s="1" t="n">
        <v>45488</v>
      </c>
      <c r="C768" s="1" t="n">
        <v>45847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30967-2024</t>
        </is>
      </c>
      <c r="B769" s="1" t="n">
        <v>45499</v>
      </c>
      <c r="C769" s="1" t="n">
        <v>45847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31275-2024</t>
        </is>
      </c>
      <c r="B770" s="1" t="n">
        <v>45504</v>
      </c>
      <c r="C770" s="1" t="n">
        <v>45847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31956-2024</t>
        </is>
      </c>
      <c r="B771" s="1" t="n">
        <v>45510</v>
      </c>
      <c r="C771" s="1" t="n">
        <v>45847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32051-2024</t>
        </is>
      </c>
      <c r="B772" s="1" t="n">
        <v>45511</v>
      </c>
      <c r="C772" s="1" t="n">
        <v>45847</v>
      </c>
      <c r="D772" t="inlineStr">
        <is>
          <t>VÄSTERBOTTENS LÄN</t>
        </is>
      </c>
      <c r="E772" t="inlineStr">
        <is>
          <t>NORSJÖ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31901-2024</t>
        </is>
      </c>
      <c r="B773" s="1" t="n">
        <v>45510</v>
      </c>
      <c r="C773" s="1" t="n">
        <v>45847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32115-2024</t>
        </is>
      </c>
      <c r="B774" s="1" t="n">
        <v>45511</v>
      </c>
      <c r="C774" s="1" t="n">
        <v>45847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32139-2024</t>
        </is>
      </c>
      <c r="B775" s="1" t="n">
        <v>45511</v>
      </c>
      <c r="C775" s="1" t="n">
        <v>45847</v>
      </c>
      <c r="D775" t="inlineStr">
        <is>
          <t>VÄSTERBOTTENS LÄN</t>
        </is>
      </c>
      <c r="E775" t="inlineStr">
        <is>
          <t>NORSJÖ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32236-2024</t>
        </is>
      </c>
      <c r="B776" s="1" t="n">
        <v>45512</v>
      </c>
      <c r="C776" s="1" t="n">
        <v>45847</v>
      </c>
      <c r="D776" t="inlineStr">
        <is>
          <t>VÄSTERBOTTENS LÄN</t>
        </is>
      </c>
      <c r="E776" t="inlineStr">
        <is>
          <t>NORSJÖ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32240-2024</t>
        </is>
      </c>
      <c r="B777" s="1" t="n">
        <v>45512</v>
      </c>
      <c r="C777" s="1" t="n">
        <v>45847</v>
      </c>
      <c r="D777" t="inlineStr">
        <is>
          <t>VÄSTERBOTTENS LÄN</t>
        </is>
      </c>
      <c r="E777" t="inlineStr">
        <is>
          <t>NORSJÖ</t>
        </is>
      </c>
      <c r="G777" t="n">
        <v>16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32183-2024</t>
        </is>
      </c>
      <c r="B778" s="1" t="n">
        <v>45511</v>
      </c>
      <c r="C778" s="1" t="n">
        <v>45847</v>
      </c>
      <c r="D778" t="inlineStr">
        <is>
          <t>VÄSTERBOTTENS LÄN</t>
        </is>
      </c>
      <c r="E778" t="inlineStr">
        <is>
          <t>NORSJÖ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32216-2024</t>
        </is>
      </c>
      <c r="B779" s="1" t="n">
        <v>45512</v>
      </c>
      <c r="C779" s="1" t="n">
        <v>45847</v>
      </c>
      <c r="D779" t="inlineStr">
        <is>
          <t>VÄSTERBOTTENS LÄN</t>
        </is>
      </c>
      <c r="E779" t="inlineStr">
        <is>
          <t>NORSJÖ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32228-2024</t>
        </is>
      </c>
      <c r="B780" s="1" t="n">
        <v>45512</v>
      </c>
      <c r="C780" s="1" t="n">
        <v>45847</v>
      </c>
      <c r="D780" t="inlineStr">
        <is>
          <t>VÄSTERBOTTENS LÄN</t>
        </is>
      </c>
      <c r="E780" t="inlineStr">
        <is>
          <t>NORSJÖ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32227-2024</t>
        </is>
      </c>
      <c r="B781" s="1" t="n">
        <v>45512</v>
      </c>
      <c r="C781" s="1" t="n">
        <v>45847</v>
      </c>
      <c r="D781" t="inlineStr">
        <is>
          <t>VÄSTERBOTTENS LÄN</t>
        </is>
      </c>
      <c r="E781" t="inlineStr">
        <is>
          <t>NORSJÖ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32239-2024</t>
        </is>
      </c>
      <c r="B782" s="1" t="n">
        <v>45512</v>
      </c>
      <c r="C782" s="1" t="n">
        <v>45847</v>
      </c>
      <c r="D782" t="inlineStr">
        <is>
          <t>VÄSTERBOTTENS LÄN</t>
        </is>
      </c>
      <c r="E782" t="inlineStr">
        <is>
          <t>NORSJÖ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32231-2024</t>
        </is>
      </c>
      <c r="B783" s="1" t="n">
        <v>45512</v>
      </c>
      <c r="C783" s="1" t="n">
        <v>45847</v>
      </c>
      <c r="D783" t="inlineStr">
        <is>
          <t>VÄSTERBOTTENS LÄN</t>
        </is>
      </c>
      <c r="E783" t="inlineStr">
        <is>
          <t>NORSJÖ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32235-2024</t>
        </is>
      </c>
      <c r="B784" s="1" t="n">
        <v>45512</v>
      </c>
      <c r="C784" s="1" t="n">
        <v>45847</v>
      </c>
      <c r="D784" t="inlineStr">
        <is>
          <t>VÄSTERBOTTENS LÄN</t>
        </is>
      </c>
      <c r="E784" t="inlineStr">
        <is>
          <t>NORSJÖ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32234-2024</t>
        </is>
      </c>
      <c r="B785" s="1" t="n">
        <v>45512</v>
      </c>
      <c r="C785" s="1" t="n">
        <v>45847</v>
      </c>
      <c r="D785" t="inlineStr">
        <is>
          <t>VÄSTERBOTTENS LÄN</t>
        </is>
      </c>
      <c r="E785" t="inlineStr">
        <is>
          <t>NORSJÖ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32230-2024</t>
        </is>
      </c>
      <c r="B786" s="1" t="n">
        <v>45512</v>
      </c>
      <c r="C786" s="1" t="n">
        <v>45847</v>
      </c>
      <c r="D786" t="inlineStr">
        <is>
          <t>VÄSTERBOTTENS LÄN</t>
        </is>
      </c>
      <c r="E786" t="inlineStr">
        <is>
          <t>NORSJÖ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32226-2024</t>
        </is>
      </c>
      <c r="B787" s="1" t="n">
        <v>45512</v>
      </c>
      <c r="C787" s="1" t="n">
        <v>45847</v>
      </c>
      <c r="D787" t="inlineStr">
        <is>
          <t>VÄSTERBOTTENS LÄN</t>
        </is>
      </c>
      <c r="E787" t="inlineStr">
        <is>
          <t>NORSJÖ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32229-2024</t>
        </is>
      </c>
      <c r="B788" s="1" t="n">
        <v>45512</v>
      </c>
      <c r="C788" s="1" t="n">
        <v>45847</v>
      </c>
      <c r="D788" t="inlineStr">
        <is>
          <t>VÄSTERBOTTENS LÄN</t>
        </is>
      </c>
      <c r="E788" t="inlineStr">
        <is>
          <t>NORSJÖ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32241-2024</t>
        </is>
      </c>
      <c r="B789" s="1" t="n">
        <v>45512</v>
      </c>
      <c r="C789" s="1" t="n">
        <v>45847</v>
      </c>
      <c r="D789" t="inlineStr">
        <is>
          <t>VÄSTERBOTTENS LÄN</t>
        </is>
      </c>
      <c r="E789" t="inlineStr">
        <is>
          <t>NORSJÖ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32542-2024</t>
        </is>
      </c>
      <c r="B790" s="1" t="n">
        <v>45513</v>
      </c>
      <c r="C790" s="1" t="n">
        <v>45847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32594-2024</t>
        </is>
      </c>
      <c r="B791" s="1" t="n">
        <v>45513</v>
      </c>
      <c r="C791" s="1" t="n">
        <v>45847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32891-2024</t>
        </is>
      </c>
      <c r="B792" s="1" t="n">
        <v>45516</v>
      </c>
      <c r="C792" s="1" t="n">
        <v>45847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32716-2024</t>
        </is>
      </c>
      <c r="B793" s="1" t="n">
        <v>45516</v>
      </c>
      <c r="C793" s="1" t="n">
        <v>45847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32896-2024</t>
        </is>
      </c>
      <c r="B794" s="1" t="n">
        <v>45516</v>
      </c>
      <c r="C794" s="1" t="n">
        <v>45847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32693-2024</t>
        </is>
      </c>
      <c r="B795" s="1" t="n">
        <v>45516</v>
      </c>
      <c r="C795" s="1" t="n">
        <v>45847</v>
      </c>
      <c r="D795" t="inlineStr">
        <is>
          <t>VÄSTERBOTTENS LÄN</t>
        </is>
      </c>
      <c r="E795" t="inlineStr">
        <is>
          <t>NORSJÖ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33080-2024</t>
        </is>
      </c>
      <c r="B796" s="1" t="n">
        <v>45517</v>
      </c>
      <c r="C796" s="1" t="n">
        <v>45847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33093-2024</t>
        </is>
      </c>
      <c r="B797" s="1" t="n">
        <v>45517</v>
      </c>
      <c r="C797" s="1" t="n">
        <v>45847</v>
      </c>
      <c r="D797" t="inlineStr">
        <is>
          <t>VÄSTERBOTTENS LÄN</t>
        </is>
      </c>
      <c r="E797" t="inlineStr">
        <is>
          <t>NORSJÖ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33062-2024</t>
        </is>
      </c>
      <c r="B798" s="1" t="n">
        <v>45517</v>
      </c>
      <c r="C798" s="1" t="n">
        <v>45847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14.3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33039-2024</t>
        </is>
      </c>
      <c r="B799" s="1" t="n">
        <v>45517</v>
      </c>
      <c r="C799" s="1" t="n">
        <v>45847</v>
      </c>
      <c r="D799" t="inlineStr">
        <is>
          <t>VÄSTERBOTTENS LÄN</t>
        </is>
      </c>
      <c r="E799" t="inlineStr">
        <is>
          <t>NORSJÖ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33433-2024</t>
        </is>
      </c>
      <c r="B800" s="1" t="n">
        <v>45519</v>
      </c>
      <c r="C800" s="1" t="n">
        <v>45847</v>
      </c>
      <c r="D800" t="inlineStr">
        <is>
          <t>VÄSTERBOTTENS LÄN</t>
        </is>
      </c>
      <c r="E800" t="inlineStr">
        <is>
          <t>NORSJÖ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33455-2024</t>
        </is>
      </c>
      <c r="B801" s="1" t="n">
        <v>45519</v>
      </c>
      <c r="C801" s="1" t="n">
        <v>45847</v>
      </c>
      <c r="D801" t="inlineStr">
        <is>
          <t>VÄSTERBOTTENS LÄN</t>
        </is>
      </c>
      <c r="E801" t="inlineStr">
        <is>
          <t>NORSJÖ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33460-2024</t>
        </is>
      </c>
      <c r="B802" s="1" t="n">
        <v>45519</v>
      </c>
      <c r="C802" s="1" t="n">
        <v>45847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33995-2024</t>
        </is>
      </c>
      <c r="B803" s="1" t="n">
        <v>45523</v>
      </c>
      <c r="C803" s="1" t="n">
        <v>45847</v>
      </c>
      <c r="D803" t="inlineStr">
        <is>
          <t>VÄSTERBOTTENS LÄN</t>
        </is>
      </c>
      <c r="E803" t="inlineStr">
        <is>
          <t>NORSJÖ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34317-2024</t>
        </is>
      </c>
      <c r="B804" s="1" t="n">
        <v>45524</v>
      </c>
      <c r="C804" s="1" t="n">
        <v>45847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34542-2024</t>
        </is>
      </c>
      <c r="B805" s="1" t="n">
        <v>45525</v>
      </c>
      <c r="C805" s="1" t="n">
        <v>45847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34546-2024</t>
        </is>
      </c>
      <c r="B806" s="1" t="n">
        <v>45525</v>
      </c>
      <c r="C806" s="1" t="n">
        <v>45847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34602-2024</t>
        </is>
      </c>
      <c r="B807" s="1" t="n">
        <v>45526</v>
      </c>
      <c r="C807" s="1" t="n">
        <v>45847</v>
      </c>
      <c r="D807" t="inlineStr">
        <is>
          <t>VÄSTERBOTTENS LÄN</t>
        </is>
      </c>
      <c r="E807" t="inlineStr">
        <is>
          <t>NORSJÖ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34616-2024</t>
        </is>
      </c>
      <c r="B808" s="1" t="n">
        <v>45526</v>
      </c>
      <c r="C808" s="1" t="n">
        <v>45847</v>
      </c>
      <c r="D808" t="inlineStr">
        <is>
          <t>VÄSTERBOTTENS LÄN</t>
        </is>
      </c>
      <c r="E808" t="inlineStr">
        <is>
          <t>NORSJÖ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34592-2024</t>
        </is>
      </c>
      <c r="B809" s="1" t="n">
        <v>45526</v>
      </c>
      <c r="C809" s="1" t="n">
        <v>45847</v>
      </c>
      <c r="D809" t="inlineStr">
        <is>
          <t>VÄSTERBOTTENS LÄN</t>
        </is>
      </c>
      <c r="E809" t="inlineStr">
        <is>
          <t>NORSJÖ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34945-2024</t>
        </is>
      </c>
      <c r="B810" s="1" t="n">
        <v>45527</v>
      </c>
      <c r="C810" s="1" t="n">
        <v>45847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35179-2024</t>
        </is>
      </c>
      <c r="B811" s="1" t="n">
        <v>45530</v>
      </c>
      <c r="C811" s="1" t="n">
        <v>45847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35181-2024</t>
        </is>
      </c>
      <c r="B812" s="1" t="n">
        <v>45530</v>
      </c>
      <c r="C812" s="1" t="n">
        <v>45847</v>
      </c>
      <c r="D812" t="inlineStr">
        <is>
          <t>VÄSTERBOTTENS LÄN</t>
        </is>
      </c>
      <c r="E812" t="inlineStr">
        <is>
          <t>NORSJÖ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35433-2024</t>
        </is>
      </c>
      <c r="B813" s="1" t="n">
        <v>45531</v>
      </c>
      <c r="C813" s="1" t="n">
        <v>45847</v>
      </c>
      <c r="D813" t="inlineStr">
        <is>
          <t>VÄSTERBOTTENS LÄN</t>
        </is>
      </c>
      <c r="E813" t="inlineStr">
        <is>
          <t>NORSJÖ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35689-2024</t>
        </is>
      </c>
      <c r="B814" s="1" t="n">
        <v>45532</v>
      </c>
      <c r="C814" s="1" t="n">
        <v>45847</v>
      </c>
      <c r="D814" t="inlineStr">
        <is>
          <t>VÄSTERBOTTENS LÄN</t>
        </is>
      </c>
      <c r="E814" t="inlineStr">
        <is>
          <t>NORSJÖ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35796-2024</t>
        </is>
      </c>
      <c r="B815" s="1" t="n">
        <v>45532</v>
      </c>
      <c r="C815" s="1" t="n">
        <v>45847</v>
      </c>
      <c r="D815" t="inlineStr">
        <is>
          <t>VÄSTERBOTTENS LÄN</t>
        </is>
      </c>
      <c r="E815" t="inlineStr">
        <is>
          <t>NORSJÖ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35935-2024</t>
        </is>
      </c>
      <c r="B816" s="1" t="n">
        <v>45533</v>
      </c>
      <c r="C816" s="1" t="n">
        <v>45847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36209-2024</t>
        </is>
      </c>
      <c r="B817" s="1" t="n">
        <v>45534</v>
      </c>
      <c r="C817" s="1" t="n">
        <v>45847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36245-2024</t>
        </is>
      </c>
      <c r="B818" s="1" t="n">
        <v>45534</v>
      </c>
      <c r="C818" s="1" t="n">
        <v>45847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36314-2024</t>
        </is>
      </c>
      <c r="B819" s="1" t="n">
        <v>45534</v>
      </c>
      <c r="C819" s="1" t="n">
        <v>45847</v>
      </c>
      <c r="D819" t="inlineStr">
        <is>
          <t>VÄSTERBOTTENS LÄN</t>
        </is>
      </c>
      <c r="E819" t="inlineStr">
        <is>
          <t>NORSJÖ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36473-2024</t>
        </is>
      </c>
      <c r="B820" s="1" t="n">
        <v>45537</v>
      </c>
      <c r="C820" s="1" t="n">
        <v>45847</v>
      </c>
      <c r="D820" t="inlineStr">
        <is>
          <t>VÄSTERBOTTENS LÄN</t>
        </is>
      </c>
      <c r="E820" t="inlineStr">
        <is>
          <t>NORSJÖ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36501-2024</t>
        </is>
      </c>
      <c r="B821" s="1" t="n">
        <v>45537</v>
      </c>
      <c r="C821" s="1" t="n">
        <v>45847</v>
      </c>
      <c r="D821" t="inlineStr">
        <is>
          <t>VÄSTERBOTTENS LÄN</t>
        </is>
      </c>
      <c r="E821" t="inlineStr">
        <is>
          <t>NORSJÖ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36585-2024</t>
        </is>
      </c>
      <c r="B822" s="1" t="n">
        <v>45537</v>
      </c>
      <c r="C822" s="1" t="n">
        <v>45847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36705-2024</t>
        </is>
      </c>
      <c r="B823" s="1" t="n">
        <v>45537</v>
      </c>
      <c r="C823" s="1" t="n">
        <v>45847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36874-2024</t>
        </is>
      </c>
      <c r="B824" s="1" t="n">
        <v>45538</v>
      </c>
      <c r="C824" s="1" t="n">
        <v>45847</v>
      </c>
      <c r="D824" t="inlineStr">
        <is>
          <t>VÄSTERBOTTENS LÄN</t>
        </is>
      </c>
      <c r="E824" t="inlineStr">
        <is>
          <t>NORSJÖ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37013-2024</t>
        </is>
      </c>
      <c r="B825" s="1" t="n">
        <v>45539</v>
      </c>
      <c r="C825" s="1" t="n">
        <v>45847</v>
      </c>
      <c r="D825" t="inlineStr">
        <is>
          <t>VÄSTERBOTTENS LÄN</t>
        </is>
      </c>
      <c r="E825" t="inlineStr">
        <is>
          <t>NORSJÖ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37428-2024</t>
        </is>
      </c>
      <c r="B826" s="1" t="n">
        <v>45540</v>
      </c>
      <c r="C826" s="1" t="n">
        <v>45847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37252-2024</t>
        </is>
      </c>
      <c r="B827" s="1" t="n">
        <v>45540</v>
      </c>
      <c r="C827" s="1" t="n">
        <v>45847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37395-2024</t>
        </is>
      </c>
      <c r="B828" s="1" t="n">
        <v>45540</v>
      </c>
      <c r="C828" s="1" t="n">
        <v>45847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37490-2024</t>
        </is>
      </c>
      <c r="B829" s="1" t="n">
        <v>45541</v>
      </c>
      <c r="C829" s="1" t="n">
        <v>45847</v>
      </c>
      <c r="D829" t="inlineStr">
        <is>
          <t>VÄSTERBOTTENS LÄN</t>
        </is>
      </c>
      <c r="E829" t="inlineStr">
        <is>
          <t>NORSJÖ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37480-2024</t>
        </is>
      </c>
      <c r="B830" s="1" t="n">
        <v>45541</v>
      </c>
      <c r="C830" s="1" t="n">
        <v>45847</v>
      </c>
      <c r="D830" t="inlineStr">
        <is>
          <t>VÄSTERBOTTENS LÄN</t>
        </is>
      </c>
      <c r="E830" t="inlineStr">
        <is>
          <t>NORSJÖ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37484-2024</t>
        </is>
      </c>
      <c r="B831" s="1" t="n">
        <v>45541</v>
      </c>
      <c r="C831" s="1" t="n">
        <v>45847</v>
      </c>
      <c r="D831" t="inlineStr">
        <is>
          <t>VÄSTERBOTTENS LÄN</t>
        </is>
      </c>
      <c r="E831" t="inlineStr">
        <is>
          <t>NORSJÖ</t>
        </is>
      </c>
      <c r="G831" t="n">
        <v>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37496-2024</t>
        </is>
      </c>
      <c r="B832" s="1" t="n">
        <v>45541</v>
      </c>
      <c r="C832" s="1" t="n">
        <v>45847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37569-2024</t>
        </is>
      </c>
      <c r="B833" s="1" t="n">
        <v>45541</v>
      </c>
      <c r="C833" s="1" t="n">
        <v>45847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37494-2024</t>
        </is>
      </c>
      <c r="B834" s="1" t="n">
        <v>45541</v>
      </c>
      <c r="C834" s="1" t="n">
        <v>45847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37493-2024</t>
        </is>
      </c>
      <c r="B835" s="1" t="n">
        <v>45541</v>
      </c>
      <c r="C835" s="1" t="n">
        <v>45847</v>
      </c>
      <c r="D835" t="inlineStr">
        <is>
          <t>VÄSTERBOTTENS LÄN</t>
        </is>
      </c>
      <c r="E835" t="inlineStr">
        <is>
          <t>NORSJÖ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37497-2024</t>
        </is>
      </c>
      <c r="B836" s="1" t="n">
        <v>45541</v>
      </c>
      <c r="C836" s="1" t="n">
        <v>45847</v>
      </c>
      <c r="D836" t="inlineStr">
        <is>
          <t>VÄSTERBOTTENS LÄN</t>
        </is>
      </c>
      <c r="E836" t="inlineStr">
        <is>
          <t>NORSJÖ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37847-2024</t>
        </is>
      </c>
      <c r="B837" s="1" t="n">
        <v>45544</v>
      </c>
      <c r="C837" s="1" t="n">
        <v>45847</v>
      </c>
      <c r="D837" t="inlineStr">
        <is>
          <t>VÄSTERBOTTENS LÄN</t>
        </is>
      </c>
      <c r="E837" t="inlineStr">
        <is>
          <t>NORSJÖ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38012-2024</t>
        </is>
      </c>
      <c r="B838" s="1" t="n">
        <v>45544</v>
      </c>
      <c r="C838" s="1" t="n">
        <v>45847</v>
      </c>
      <c r="D838" t="inlineStr">
        <is>
          <t>VÄSTERBOTTENS LÄN</t>
        </is>
      </c>
      <c r="E838" t="inlineStr">
        <is>
          <t>NORSJÖ</t>
        </is>
      </c>
      <c r="F838" t="inlineStr">
        <is>
          <t>Naturvårdsverket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38145-2024</t>
        </is>
      </c>
      <c r="B839" s="1" t="n">
        <v>45545</v>
      </c>
      <c r="C839" s="1" t="n">
        <v>45847</v>
      </c>
      <c r="D839" t="inlineStr">
        <is>
          <t>VÄSTERBOTTENS LÄN</t>
        </is>
      </c>
      <c r="E839" t="inlineStr">
        <is>
          <t>NORSJÖ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38318-2024</t>
        </is>
      </c>
      <c r="B840" s="1" t="n">
        <v>45545</v>
      </c>
      <c r="C840" s="1" t="n">
        <v>45847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38686-2024</t>
        </is>
      </c>
      <c r="B841" s="1" t="n">
        <v>45547</v>
      </c>
      <c r="C841" s="1" t="n">
        <v>45847</v>
      </c>
      <c r="D841" t="inlineStr">
        <is>
          <t>VÄSTERBOTTENS LÄN</t>
        </is>
      </c>
      <c r="E841" t="inlineStr">
        <is>
          <t>NORSJÖ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38685-2024</t>
        </is>
      </c>
      <c r="B842" s="1" t="n">
        <v>45547</v>
      </c>
      <c r="C842" s="1" t="n">
        <v>45847</v>
      </c>
      <c r="D842" t="inlineStr">
        <is>
          <t>VÄSTERBOTTENS LÄN</t>
        </is>
      </c>
      <c r="E842" t="inlineStr">
        <is>
          <t>NORSJÖ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38689-2024</t>
        </is>
      </c>
      <c r="B843" s="1" t="n">
        <v>45547</v>
      </c>
      <c r="C843" s="1" t="n">
        <v>45847</v>
      </c>
      <c r="D843" t="inlineStr">
        <is>
          <t>VÄSTERBOTTENS LÄN</t>
        </is>
      </c>
      <c r="E843" t="inlineStr">
        <is>
          <t>NORSJÖ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38850-2024</t>
        </is>
      </c>
      <c r="B844" s="1" t="n">
        <v>45547</v>
      </c>
      <c r="C844" s="1" t="n">
        <v>45847</v>
      </c>
      <c r="D844" t="inlineStr">
        <is>
          <t>VÄSTERBOTTENS LÄN</t>
        </is>
      </c>
      <c r="E844" t="inlineStr">
        <is>
          <t>NORSJÖ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38832-2024</t>
        </is>
      </c>
      <c r="B845" s="1" t="n">
        <v>45547</v>
      </c>
      <c r="C845" s="1" t="n">
        <v>45847</v>
      </c>
      <c r="D845" t="inlineStr">
        <is>
          <t>VÄSTERBOTTENS LÄN</t>
        </is>
      </c>
      <c r="E845" t="inlineStr">
        <is>
          <t>NORSJÖ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39067-2024</t>
        </is>
      </c>
      <c r="B846" s="1" t="n">
        <v>45548</v>
      </c>
      <c r="C846" s="1" t="n">
        <v>45847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39289-2024</t>
        </is>
      </c>
      <c r="B847" s="1" t="n">
        <v>45551</v>
      </c>
      <c r="C847" s="1" t="n">
        <v>45847</v>
      </c>
      <c r="D847" t="inlineStr">
        <is>
          <t>VÄSTERBOTTENS LÄN</t>
        </is>
      </c>
      <c r="E847" t="inlineStr">
        <is>
          <t>NORSJÖ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39288-2024</t>
        </is>
      </c>
      <c r="B848" s="1" t="n">
        <v>45551</v>
      </c>
      <c r="C848" s="1" t="n">
        <v>45847</v>
      </c>
      <c r="D848" t="inlineStr">
        <is>
          <t>VÄSTERBOTTENS LÄN</t>
        </is>
      </c>
      <c r="E848" t="inlineStr">
        <is>
          <t>NORSJÖ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39335-2024</t>
        </is>
      </c>
      <c r="B849" s="1" t="n">
        <v>45551</v>
      </c>
      <c r="C849" s="1" t="n">
        <v>45847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39343-2024</t>
        </is>
      </c>
      <c r="B850" s="1" t="n">
        <v>45551</v>
      </c>
      <c r="C850" s="1" t="n">
        <v>45847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39353-2024</t>
        </is>
      </c>
      <c r="B851" s="1" t="n">
        <v>45551</v>
      </c>
      <c r="C851" s="1" t="n">
        <v>45847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39400-2024</t>
        </is>
      </c>
      <c r="B852" s="1" t="n">
        <v>45551</v>
      </c>
      <c r="C852" s="1" t="n">
        <v>45847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39736-2024</t>
        </is>
      </c>
      <c r="B853" s="1" t="n">
        <v>45552</v>
      </c>
      <c r="C853" s="1" t="n">
        <v>45847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40074-2024</t>
        </is>
      </c>
      <c r="B854" s="1" t="n">
        <v>45554</v>
      </c>
      <c r="C854" s="1" t="n">
        <v>45847</v>
      </c>
      <c r="D854" t="inlineStr">
        <is>
          <t>VÄSTERBOTTENS LÄN</t>
        </is>
      </c>
      <c r="E854" t="inlineStr">
        <is>
          <t>NORSJÖ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40203-2024</t>
        </is>
      </c>
      <c r="B855" s="1" t="n">
        <v>45554</v>
      </c>
      <c r="C855" s="1" t="n">
        <v>45847</v>
      </c>
      <c r="D855" t="inlineStr">
        <is>
          <t>VÄSTERBOTTENS LÄN</t>
        </is>
      </c>
      <c r="E855" t="inlineStr">
        <is>
          <t>NORSJÖ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40293-2024</t>
        </is>
      </c>
      <c r="B856" s="1" t="n">
        <v>45554</v>
      </c>
      <c r="C856" s="1" t="n">
        <v>45847</v>
      </c>
      <c r="D856" t="inlineStr">
        <is>
          <t>VÄSTERBOTTENS LÄN</t>
        </is>
      </c>
      <c r="E856" t="inlineStr">
        <is>
          <t>NORSJÖ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40103-2024</t>
        </is>
      </c>
      <c r="B857" s="1" t="n">
        <v>45554</v>
      </c>
      <c r="C857" s="1" t="n">
        <v>45847</v>
      </c>
      <c r="D857" t="inlineStr">
        <is>
          <t>VÄSTERBOTTENS LÄN</t>
        </is>
      </c>
      <c r="E857" t="inlineStr">
        <is>
          <t>NORSJÖ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40200-2024</t>
        </is>
      </c>
      <c r="B858" s="1" t="n">
        <v>45554</v>
      </c>
      <c r="C858" s="1" t="n">
        <v>45847</v>
      </c>
      <c r="D858" t="inlineStr">
        <is>
          <t>VÄSTERBOTTENS LÄN</t>
        </is>
      </c>
      <c r="E858" t="inlineStr">
        <is>
          <t>NORSJÖ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40263-2024</t>
        </is>
      </c>
      <c r="B859" s="1" t="n">
        <v>45554</v>
      </c>
      <c r="C859" s="1" t="n">
        <v>45847</v>
      </c>
      <c r="D859" t="inlineStr">
        <is>
          <t>VÄSTERBOTTENS LÄN</t>
        </is>
      </c>
      <c r="E859" t="inlineStr">
        <is>
          <t>NORSJÖ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40295-2024</t>
        </is>
      </c>
      <c r="B860" s="1" t="n">
        <v>45554</v>
      </c>
      <c r="C860" s="1" t="n">
        <v>45847</v>
      </c>
      <c r="D860" t="inlineStr">
        <is>
          <t>VÄSTERBOTTENS LÄN</t>
        </is>
      </c>
      <c r="E860" t="inlineStr">
        <is>
          <t>NORSJÖ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40846-2024</t>
        </is>
      </c>
      <c r="B861" s="1" t="n">
        <v>45558</v>
      </c>
      <c r="C861" s="1" t="n">
        <v>45847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49.4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41328-2024</t>
        </is>
      </c>
      <c r="B862" s="1" t="n">
        <v>45559</v>
      </c>
      <c r="C862" s="1" t="n">
        <v>45847</v>
      </c>
      <c r="D862" t="inlineStr">
        <is>
          <t>VÄSTERBOTTENS LÄN</t>
        </is>
      </c>
      <c r="E862" t="inlineStr">
        <is>
          <t>NORSJÖ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41325-2024</t>
        </is>
      </c>
      <c r="B863" s="1" t="n">
        <v>45559</v>
      </c>
      <c r="C863" s="1" t="n">
        <v>45847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41323-2024</t>
        </is>
      </c>
      <c r="B864" s="1" t="n">
        <v>45559</v>
      </c>
      <c r="C864" s="1" t="n">
        <v>45847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Sveaskog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41510-2024</t>
        </is>
      </c>
      <c r="B865" s="1" t="n">
        <v>45560</v>
      </c>
      <c r="C865" s="1" t="n">
        <v>45847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41844-2024</t>
        </is>
      </c>
      <c r="B866" s="1" t="n">
        <v>45561</v>
      </c>
      <c r="C866" s="1" t="n">
        <v>45847</v>
      </c>
      <c r="D866" t="inlineStr">
        <is>
          <t>VÄSTERBOTTENS LÄN</t>
        </is>
      </c>
      <c r="E866" t="inlineStr">
        <is>
          <t>NORSJÖ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41965-2024</t>
        </is>
      </c>
      <c r="B867" s="1" t="n">
        <v>45561</v>
      </c>
      <c r="C867" s="1" t="n">
        <v>45847</v>
      </c>
      <c r="D867" t="inlineStr">
        <is>
          <t>VÄSTERBOTTENS LÄN</t>
        </is>
      </c>
      <c r="E867" t="inlineStr">
        <is>
          <t>NORSJÖ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41966-2024</t>
        </is>
      </c>
      <c r="B868" s="1" t="n">
        <v>45561</v>
      </c>
      <c r="C868" s="1" t="n">
        <v>45847</v>
      </c>
      <c r="D868" t="inlineStr">
        <is>
          <t>VÄSTERBOTTENS LÄN</t>
        </is>
      </c>
      <c r="E868" t="inlineStr">
        <is>
          <t>NORSJÖ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41833-2024</t>
        </is>
      </c>
      <c r="B869" s="1" t="n">
        <v>45561</v>
      </c>
      <c r="C869" s="1" t="n">
        <v>45847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42012-2024</t>
        </is>
      </c>
      <c r="B870" s="1" t="n">
        <v>45561</v>
      </c>
      <c r="C870" s="1" t="n">
        <v>45847</v>
      </c>
      <c r="D870" t="inlineStr">
        <is>
          <t>VÄSTERBOTTENS LÄN</t>
        </is>
      </c>
      <c r="E870" t="inlineStr">
        <is>
          <t>NORSJÖ</t>
        </is>
      </c>
      <c r="F870" t="inlineStr">
        <is>
          <t>Sveaskog</t>
        </is>
      </c>
      <c r="G870" t="n">
        <v>20.4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42224-2024</t>
        </is>
      </c>
      <c r="B871" s="1" t="n">
        <v>45562</v>
      </c>
      <c r="C871" s="1" t="n">
        <v>45847</v>
      </c>
      <c r="D871" t="inlineStr">
        <is>
          <t>VÄSTERBOTTENS LÄN</t>
        </is>
      </c>
      <c r="E871" t="inlineStr">
        <is>
          <t>NORSJÖ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42418-2024</t>
        </is>
      </c>
      <c r="B872" s="1" t="n">
        <v>45565</v>
      </c>
      <c r="C872" s="1" t="n">
        <v>45847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42533-2024</t>
        </is>
      </c>
      <c r="B873" s="1" t="n">
        <v>45565</v>
      </c>
      <c r="C873" s="1" t="n">
        <v>45847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42437-2024</t>
        </is>
      </c>
      <c r="B874" s="1" t="n">
        <v>45565</v>
      </c>
      <c r="C874" s="1" t="n">
        <v>45847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42458-2024</t>
        </is>
      </c>
      <c r="B875" s="1" t="n">
        <v>45565</v>
      </c>
      <c r="C875" s="1" t="n">
        <v>45847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43592-2024</t>
        </is>
      </c>
      <c r="B876" s="1" t="n">
        <v>45569</v>
      </c>
      <c r="C876" s="1" t="n">
        <v>45847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43651-2024</t>
        </is>
      </c>
      <c r="B877" s="1" t="n">
        <v>45569</v>
      </c>
      <c r="C877" s="1" t="n">
        <v>45847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43777-2024</t>
        </is>
      </c>
      <c r="B878" s="1" t="n">
        <v>45570</v>
      </c>
      <c r="C878" s="1" t="n">
        <v>45847</v>
      </c>
      <c r="D878" t="inlineStr">
        <is>
          <t>VÄSTERBOTTENS LÄN</t>
        </is>
      </c>
      <c r="E878" t="inlineStr">
        <is>
          <t>NORSJÖ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44114-2024</t>
        </is>
      </c>
      <c r="B879" s="1" t="n">
        <v>45572</v>
      </c>
      <c r="C879" s="1" t="n">
        <v>45847</v>
      </c>
      <c r="D879" t="inlineStr">
        <is>
          <t>VÄSTERBOTTENS LÄN</t>
        </is>
      </c>
      <c r="E879" t="inlineStr">
        <is>
          <t>NORSJÖ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44214-2024</t>
        </is>
      </c>
      <c r="B880" s="1" t="n">
        <v>45573</v>
      </c>
      <c r="C880" s="1" t="n">
        <v>45847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44366-2024</t>
        </is>
      </c>
      <c r="B881" s="1" t="n">
        <v>45573</v>
      </c>
      <c r="C881" s="1" t="n">
        <v>45847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44367-2024</t>
        </is>
      </c>
      <c r="B882" s="1" t="n">
        <v>45573</v>
      </c>
      <c r="C882" s="1" t="n">
        <v>45847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Kommuner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44771-2024</t>
        </is>
      </c>
      <c r="B883" s="1" t="n">
        <v>45574</v>
      </c>
      <c r="C883" s="1" t="n">
        <v>45847</v>
      </c>
      <c r="D883" t="inlineStr">
        <is>
          <t>VÄSTERBOTTENS LÄN</t>
        </is>
      </c>
      <c r="E883" t="inlineStr">
        <is>
          <t>NORSJÖ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45697-2024</t>
        </is>
      </c>
      <c r="B884" s="1" t="n">
        <v>45579</v>
      </c>
      <c r="C884" s="1" t="n">
        <v>45847</v>
      </c>
      <c r="D884" t="inlineStr">
        <is>
          <t>VÄSTERBOTTENS LÄN</t>
        </is>
      </c>
      <c r="E884" t="inlineStr">
        <is>
          <t>NORSJÖ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45693-2024</t>
        </is>
      </c>
      <c r="B885" s="1" t="n">
        <v>45579</v>
      </c>
      <c r="C885" s="1" t="n">
        <v>45847</v>
      </c>
      <c r="D885" t="inlineStr">
        <is>
          <t>VÄSTERBOTTENS LÄN</t>
        </is>
      </c>
      <c r="E885" t="inlineStr">
        <is>
          <t>NORSJÖ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45858-2024</t>
        </is>
      </c>
      <c r="B886" s="1" t="n">
        <v>45580</v>
      </c>
      <c r="C886" s="1" t="n">
        <v>45847</v>
      </c>
      <c r="D886" t="inlineStr">
        <is>
          <t>VÄSTERBOTTENS LÄN</t>
        </is>
      </c>
      <c r="E886" t="inlineStr">
        <is>
          <t>NORSJÖ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45990-2024</t>
        </is>
      </c>
      <c r="B887" s="1" t="n">
        <v>45580</v>
      </c>
      <c r="C887" s="1" t="n">
        <v>45847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45896-2024</t>
        </is>
      </c>
      <c r="B888" s="1" t="n">
        <v>45580</v>
      </c>
      <c r="C888" s="1" t="n">
        <v>45847</v>
      </c>
      <c r="D888" t="inlineStr">
        <is>
          <t>VÄSTERBOTTENS LÄN</t>
        </is>
      </c>
      <c r="E888" t="inlineStr">
        <is>
          <t>NORSJÖ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45944-2024</t>
        </is>
      </c>
      <c r="B889" s="1" t="n">
        <v>45580</v>
      </c>
      <c r="C889" s="1" t="n">
        <v>45847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46643-2024</t>
        </is>
      </c>
      <c r="B890" s="1" t="n">
        <v>45583</v>
      </c>
      <c r="C890" s="1" t="n">
        <v>45847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46882-2024</t>
        </is>
      </c>
      <c r="B891" s="1" t="n">
        <v>45583</v>
      </c>
      <c r="C891" s="1" t="n">
        <v>45847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46710-2024</t>
        </is>
      </c>
      <c r="B892" s="1" t="n">
        <v>45583</v>
      </c>
      <c r="C892" s="1" t="n">
        <v>45847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47225-2024</t>
        </is>
      </c>
      <c r="B893" s="1" t="n">
        <v>45586</v>
      </c>
      <c r="C893" s="1" t="n">
        <v>45847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47205-2024</t>
        </is>
      </c>
      <c r="B894" s="1" t="n">
        <v>45586</v>
      </c>
      <c r="C894" s="1" t="n">
        <v>45847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47185-2024</t>
        </is>
      </c>
      <c r="B895" s="1" t="n">
        <v>45586</v>
      </c>
      <c r="C895" s="1" t="n">
        <v>45847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47224-2024</t>
        </is>
      </c>
      <c r="B896" s="1" t="n">
        <v>45586</v>
      </c>
      <c r="C896" s="1" t="n">
        <v>45847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47220-2024</t>
        </is>
      </c>
      <c r="B897" s="1" t="n">
        <v>45586</v>
      </c>
      <c r="C897" s="1" t="n">
        <v>45847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47215-2024</t>
        </is>
      </c>
      <c r="B898" s="1" t="n">
        <v>45586</v>
      </c>
      <c r="C898" s="1" t="n">
        <v>45847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47446-2024</t>
        </is>
      </c>
      <c r="B899" s="1" t="n">
        <v>45587</v>
      </c>
      <c r="C899" s="1" t="n">
        <v>45847</v>
      </c>
      <c r="D899" t="inlineStr">
        <is>
          <t>VÄSTERBOTTENS LÄN</t>
        </is>
      </c>
      <c r="E899" t="inlineStr">
        <is>
          <t>NORSJÖ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47413-2024</t>
        </is>
      </c>
      <c r="B900" s="1" t="n">
        <v>45587</v>
      </c>
      <c r="C900" s="1" t="n">
        <v>45847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47308-2024</t>
        </is>
      </c>
      <c r="B901" s="1" t="n">
        <v>45587</v>
      </c>
      <c r="C901" s="1" t="n">
        <v>45847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47317-2024</t>
        </is>
      </c>
      <c r="B902" s="1" t="n">
        <v>45587</v>
      </c>
      <c r="C902" s="1" t="n">
        <v>45847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48218-2024</t>
        </is>
      </c>
      <c r="B903" s="1" t="n">
        <v>45590</v>
      </c>
      <c r="C903" s="1" t="n">
        <v>45847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48954-2024</t>
        </is>
      </c>
      <c r="B904" s="1" t="n">
        <v>45594</v>
      </c>
      <c r="C904" s="1" t="n">
        <v>45847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49033-2024</t>
        </is>
      </c>
      <c r="B905" s="1" t="n">
        <v>45594</v>
      </c>
      <c r="C905" s="1" t="n">
        <v>45847</v>
      </c>
      <c r="D905" t="inlineStr">
        <is>
          <t>VÄSTERBOTTENS LÄN</t>
        </is>
      </c>
      <c r="E905" t="inlineStr">
        <is>
          <t>NORSJÖ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49034-2024</t>
        </is>
      </c>
      <c r="B906" s="1" t="n">
        <v>45594</v>
      </c>
      <c r="C906" s="1" t="n">
        <v>45847</v>
      </c>
      <c r="D906" t="inlineStr">
        <is>
          <t>VÄSTERBOTTENS LÄN</t>
        </is>
      </c>
      <c r="E906" t="inlineStr">
        <is>
          <t>NORSJÖ</t>
        </is>
      </c>
      <c r="G906" t="n">
        <v>15.3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49481-2024</t>
        </is>
      </c>
      <c r="B907" s="1" t="n">
        <v>45596</v>
      </c>
      <c r="C907" s="1" t="n">
        <v>45847</v>
      </c>
      <c r="D907" t="inlineStr">
        <is>
          <t>VÄSTERBOTTENS LÄN</t>
        </is>
      </c>
      <c r="E907" t="inlineStr">
        <is>
          <t>NORSJÖ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50075-2024</t>
        </is>
      </c>
      <c r="B908" s="1" t="n">
        <v>45600</v>
      </c>
      <c r="C908" s="1" t="n">
        <v>45847</v>
      </c>
      <c r="D908" t="inlineStr">
        <is>
          <t>VÄSTERBOTTENS LÄN</t>
        </is>
      </c>
      <c r="E908" t="inlineStr">
        <is>
          <t>NORSJÖ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50617-2024</t>
        </is>
      </c>
      <c r="B909" s="1" t="n">
        <v>45601</v>
      </c>
      <c r="C909" s="1" t="n">
        <v>45847</v>
      </c>
      <c r="D909" t="inlineStr">
        <is>
          <t>VÄSTERBOTTENS LÄN</t>
        </is>
      </c>
      <c r="E909" t="inlineStr">
        <is>
          <t>NORSJÖ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50725-2024</t>
        </is>
      </c>
      <c r="B910" s="1" t="n">
        <v>45602</v>
      </c>
      <c r="C910" s="1" t="n">
        <v>45847</v>
      </c>
      <c r="D910" t="inlineStr">
        <is>
          <t>VÄSTERBOTTENS LÄN</t>
        </is>
      </c>
      <c r="E910" t="inlineStr">
        <is>
          <t>NORSJÖ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50724-2024</t>
        </is>
      </c>
      <c r="B911" s="1" t="n">
        <v>45602</v>
      </c>
      <c r="C911" s="1" t="n">
        <v>45847</v>
      </c>
      <c r="D911" t="inlineStr">
        <is>
          <t>VÄSTERBOTTENS LÄN</t>
        </is>
      </c>
      <c r="E911" t="inlineStr">
        <is>
          <t>NORSJÖ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51075-2024</t>
        </is>
      </c>
      <c r="B912" s="1" t="n">
        <v>45603</v>
      </c>
      <c r="C912" s="1" t="n">
        <v>45847</v>
      </c>
      <c r="D912" t="inlineStr">
        <is>
          <t>VÄSTERBOTTENS LÄN</t>
        </is>
      </c>
      <c r="E912" t="inlineStr">
        <is>
          <t>NORSJÖ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51352-2024</t>
        </is>
      </c>
      <c r="B913" s="1" t="n">
        <v>45604</v>
      </c>
      <c r="C913" s="1" t="n">
        <v>45847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51407-2024</t>
        </is>
      </c>
      <c r="B914" s="1" t="n">
        <v>45604</v>
      </c>
      <c r="C914" s="1" t="n">
        <v>45847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51548-2024</t>
        </is>
      </c>
      <c r="B915" s="1" t="n">
        <v>45604</v>
      </c>
      <c r="C915" s="1" t="n">
        <v>45847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51401-2024</t>
        </is>
      </c>
      <c r="B916" s="1" t="n">
        <v>45604</v>
      </c>
      <c r="C916" s="1" t="n">
        <v>45847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52045-2024</t>
        </is>
      </c>
      <c r="B917" s="1" t="n">
        <v>45604</v>
      </c>
      <c r="C917" s="1" t="n">
        <v>45847</v>
      </c>
      <c r="D917" t="inlineStr">
        <is>
          <t>VÄSTERBOTTENS LÄN</t>
        </is>
      </c>
      <c r="E917" t="inlineStr">
        <is>
          <t>NORSJÖ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51724-2024</t>
        </is>
      </c>
      <c r="B918" s="1" t="n">
        <v>45607</v>
      </c>
      <c r="C918" s="1" t="n">
        <v>45847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52133-2024</t>
        </is>
      </c>
      <c r="B919" s="1" t="n">
        <v>45608</v>
      </c>
      <c r="C919" s="1" t="n">
        <v>45847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Sveaskog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52568-2024</t>
        </is>
      </c>
      <c r="B920" s="1" t="n">
        <v>45609</v>
      </c>
      <c r="C920" s="1" t="n">
        <v>45847</v>
      </c>
      <c r="D920" t="inlineStr">
        <is>
          <t>VÄSTERBOTTENS LÄN</t>
        </is>
      </c>
      <c r="E920" t="inlineStr">
        <is>
          <t>NORSJÖ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52888-2024</t>
        </is>
      </c>
      <c r="B921" s="1" t="n">
        <v>45610</v>
      </c>
      <c r="C921" s="1" t="n">
        <v>45847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52822-2024</t>
        </is>
      </c>
      <c r="B922" s="1" t="n">
        <v>45610</v>
      </c>
      <c r="C922" s="1" t="n">
        <v>45847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53107-2024</t>
        </is>
      </c>
      <c r="B923" s="1" t="n">
        <v>45611</v>
      </c>
      <c r="C923" s="1" t="n">
        <v>45847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10.4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52998-2024</t>
        </is>
      </c>
      <c r="B924" s="1" t="n">
        <v>45611</v>
      </c>
      <c r="C924" s="1" t="n">
        <v>45847</v>
      </c>
      <c r="D924" t="inlineStr">
        <is>
          <t>VÄSTERBOTTENS LÄN</t>
        </is>
      </c>
      <c r="E924" t="inlineStr">
        <is>
          <t>NORSJÖ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53576-2024</t>
        </is>
      </c>
      <c r="B925" s="1" t="n">
        <v>45614</v>
      </c>
      <c r="C925" s="1" t="n">
        <v>45847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53547-2024</t>
        </is>
      </c>
      <c r="B926" s="1" t="n">
        <v>45614</v>
      </c>
      <c r="C926" s="1" t="n">
        <v>45847</v>
      </c>
      <c r="D926" t="inlineStr">
        <is>
          <t>VÄSTERBOTTENS LÄN</t>
        </is>
      </c>
      <c r="E926" t="inlineStr">
        <is>
          <t>NORSJÖ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53472-2024</t>
        </is>
      </c>
      <c r="B927" s="1" t="n">
        <v>45614</v>
      </c>
      <c r="C927" s="1" t="n">
        <v>45847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53457-2024</t>
        </is>
      </c>
      <c r="B928" s="1" t="n">
        <v>45614</v>
      </c>
      <c r="C928" s="1" t="n">
        <v>45847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53574-2024</t>
        </is>
      </c>
      <c r="B929" s="1" t="n">
        <v>45614</v>
      </c>
      <c r="C929" s="1" t="n">
        <v>45847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53442-2024</t>
        </is>
      </c>
      <c r="B930" s="1" t="n">
        <v>45614</v>
      </c>
      <c r="C930" s="1" t="n">
        <v>45847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54044-2024</t>
        </is>
      </c>
      <c r="B931" s="1" t="n">
        <v>45616</v>
      </c>
      <c r="C931" s="1" t="n">
        <v>45847</v>
      </c>
      <c r="D931" t="inlineStr">
        <is>
          <t>VÄSTERBOTTENS LÄN</t>
        </is>
      </c>
      <c r="E931" t="inlineStr">
        <is>
          <t>NORSJÖ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54709-2024</t>
        </is>
      </c>
      <c r="B932" s="1" t="n">
        <v>45617</v>
      </c>
      <c r="C932" s="1" t="n">
        <v>45847</v>
      </c>
      <c r="D932" t="inlineStr">
        <is>
          <t>VÄSTERBOTTENS LÄN</t>
        </is>
      </c>
      <c r="E932" t="inlineStr">
        <is>
          <t>NORSJÖ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54712-2024</t>
        </is>
      </c>
      <c r="B933" s="1" t="n">
        <v>45617</v>
      </c>
      <c r="C933" s="1" t="n">
        <v>45847</v>
      </c>
      <c r="D933" t="inlineStr">
        <is>
          <t>VÄSTERBOTTENS LÄN</t>
        </is>
      </c>
      <c r="E933" t="inlineStr">
        <is>
          <t>NORSJÖ</t>
        </is>
      </c>
      <c r="G933" t="n">
        <v>16.6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55140-2024</t>
        </is>
      </c>
      <c r="B934" s="1" t="n">
        <v>45618</v>
      </c>
      <c r="C934" s="1" t="n">
        <v>45847</v>
      </c>
      <c r="D934" t="inlineStr">
        <is>
          <t>VÄSTERBOTTENS LÄN</t>
        </is>
      </c>
      <c r="E934" t="inlineStr">
        <is>
          <t>NORSJÖ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54902-2024</t>
        </is>
      </c>
      <c r="B935" s="1" t="n">
        <v>45618</v>
      </c>
      <c r="C935" s="1" t="n">
        <v>45847</v>
      </c>
      <c r="D935" t="inlineStr">
        <is>
          <t>VÄSTERBOTTENS LÄN</t>
        </is>
      </c>
      <c r="E935" t="inlineStr">
        <is>
          <t>NORSJÖ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55150-2024</t>
        </is>
      </c>
      <c r="B936" s="1" t="n">
        <v>45618</v>
      </c>
      <c r="C936" s="1" t="n">
        <v>45847</v>
      </c>
      <c r="D936" t="inlineStr">
        <is>
          <t>VÄSTERBOTTENS LÄN</t>
        </is>
      </c>
      <c r="E936" t="inlineStr">
        <is>
          <t>NORSJÖ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55157-2024</t>
        </is>
      </c>
      <c r="B937" s="1" t="n">
        <v>45618</v>
      </c>
      <c r="C937" s="1" t="n">
        <v>45847</v>
      </c>
      <c r="D937" t="inlineStr">
        <is>
          <t>VÄSTERBOTTENS LÄN</t>
        </is>
      </c>
      <c r="E937" t="inlineStr">
        <is>
          <t>NORSJÖ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55220-2024</t>
        </is>
      </c>
      <c r="B938" s="1" t="n">
        <v>45620</v>
      </c>
      <c r="C938" s="1" t="n">
        <v>45847</v>
      </c>
      <c r="D938" t="inlineStr">
        <is>
          <t>VÄSTERBOTTENS LÄN</t>
        </is>
      </c>
      <c r="E938" t="inlineStr">
        <is>
          <t>NORSJÖ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55213-2024</t>
        </is>
      </c>
      <c r="B939" s="1" t="n">
        <v>45620</v>
      </c>
      <c r="C939" s="1" t="n">
        <v>45847</v>
      </c>
      <c r="D939" t="inlineStr">
        <is>
          <t>VÄSTERBOTTENS LÄN</t>
        </is>
      </c>
      <c r="E939" t="inlineStr">
        <is>
          <t>NORSJÖ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55264-2024</t>
        </is>
      </c>
      <c r="B940" s="1" t="n">
        <v>45620</v>
      </c>
      <c r="C940" s="1" t="n">
        <v>45847</v>
      </c>
      <c r="D940" t="inlineStr">
        <is>
          <t>VÄSTERBOTTENS LÄN</t>
        </is>
      </c>
      <c r="E940" t="inlineStr">
        <is>
          <t>NORSJÖ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55039-2024</t>
        </is>
      </c>
      <c r="B941" s="1" t="n">
        <v>45621</v>
      </c>
      <c r="C941" s="1" t="n">
        <v>45847</v>
      </c>
      <c r="D941" t="inlineStr">
        <is>
          <t>VÄSTERBOTTENS LÄN</t>
        </is>
      </c>
      <c r="E941" t="inlineStr">
        <is>
          <t>NORSJÖ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55239-2024</t>
        </is>
      </c>
      <c r="B942" s="1" t="n">
        <v>45621</v>
      </c>
      <c r="C942" s="1" t="n">
        <v>45847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55310-2024</t>
        </is>
      </c>
      <c r="B943" s="1" t="n">
        <v>45621</v>
      </c>
      <c r="C943" s="1" t="n">
        <v>45847</v>
      </c>
      <c r="D943" t="inlineStr">
        <is>
          <t>VÄSTERBOTTENS LÄN</t>
        </is>
      </c>
      <c r="E943" t="inlineStr">
        <is>
          <t>NORSJÖ</t>
        </is>
      </c>
      <c r="F943" t="inlineStr">
        <is>
          <t>Sveaskog</t>
        </is>
      </c>
      <c r="G943" t="n">
        <v>12.3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55405-2024</t>
        </is>
      </c>
      <c r="B944" s="1" t="n">
        <v>45621</v>
      </c>
      <c r="C944" s="1" t="n">
        <v>45847</v>
      </c>
      <c r="D944" t="inlineStr">
        <is>
          <t>VÄSTERBOTTENS LÄN</t>
        </is>
      </c>
      <c r="E944" t="inlineStr">
        <is>
          <t>NORSJÖ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55133-2024</t>
        </is>
      </c>
      <c r="B945" s="1" t="n">
        <v>45621</v>
      </c>
      <c r="C945" s="1" t="n">
        <v>45847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55586-2024</t>
        </is>
      </c>
      <c r="B946" s="1" t="n">
        <v>45622</v>
      </c>
      <c r="C946" s="1" t="n">
        <v>45847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55821-2024</t>
        </is>
      </c>
      <c r="B947" s="1" t="n">
        <v>45623</v>
      </c>
      <c r="C947" s="1" t="n">
        <v>45847</v>
      </c>
      <c r="D947" t="inlineStr">
        <is>
          <t>VÄSTERBOTTENS LÄN</t>
        </is>
      </c>
      <c r="E947" t="inlineStr">
        <is>
          <t>NORSJÖ</t>
        </is>
      </c>
      <c r="F947" t="inlineStr">
        <is>
          <t>Holmen skog AB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55951-2024</t>
        </is>
      </c>
      <c r="B948" s="1" t="n">
        <v>45623</v>
      </c>
      <c r="C948" s="1" t="n">
        <v>45847</v>
      </c>
      <c r="D948" t="inlineStr">
        <is>
          <t>VÄSTERBOTTENS LÄN</t>
        </is>
      </c>
      <c r="E948" t="inlineStr">
        <is>
          <t>NORSJÖ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55936-2024</t>
        </is>
      </c>
      <c r="B949" s="1" t="n">
        <v>45623</v>
      </c>
      <c r="C949" s="1" t="n">
        <v>45847</v>
      </c>
      <c r="D949" t="inlineStr">
        <is>
          <t>VÄSTERBOTTENS LÄN</t>
        </is>
      </c>
      <c r="E949" t="inlineStr">
        <is>
          <t>NORSJÖ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55919-2024</t>
        </is>
      </c>
      <c r="B950" s="1" t="n">
        <v>45623</v>
      </c>
      <c r="C950" s="1" t="n">
        <v>45847</v>
      </c>
      <c r="D950" t="inlineStr">
        <is>
          <t>VÄSTERBOTTENS LÄN</t>
        </is>
      </c>
      <c r="E950" t="inlineStr">
        <is>
          <t>NORSJÖ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55931-2024</t>
        </is>
      </c>
      <c r="B951" s="1" t="n">
        <v>45623</v>
      </c>
      <c r="C951" s="1" t="n">
        <v>45847</v>
      </c>
      <c r="D951" t="inlineStr">
        <is>
          <t>VÄSTERBOTTENS LÄN</t>
        </is>
      </c>
      <c r="E951" t="inlineStr">
        <is>
          <t>NORSJÖ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55929-2024</t>
        </is>
      </c>
      <c r="B952" s="1" t="n">
        <v>45623</v>
      </c>
      <c r="C952" s="1" t="n">
        <v>45847</v>
      </c>
      <c r="D952" t="inlineStr">
        <is>
          <t>VÄSTERBOTTENS LÄN</t>
        </is>
      </c>
      <c r="E952" t="inlineStr">
        <is>
          <t>NORSJÖ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56195-2024</t>
        </is>
      </c>
      <c r="B953" s="1" t="n">
        <v>45623</v>
      </c>
      <c r="C953" s="1" t="n">
        <v>45847</v>
      </c>
      <c r="D953" t="inlineStr">
        <is>
          <t>VÄSTERBOTTENS LÄN</t>
        </is>
      </c>
      <c r="E953" t="inlineStr">
        <is>
          <t>NORSJÖ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56220-2024</t>
        </is>
      </c>
      <c r="B954" s="1" t="n">
        <v>45624</v>
      </c>
      <c r="C954" s="1" t="n">
        <v>45847</v>
      </c>
      <c r="D954" t="inlineStr">
        <is>
          <t>VÄSTERBOTTENS LÄN</t>
        </is>
      </c>
      <c r="E954" t="inlineStr">
        <is>
          <t>NORSJÖ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56233-2024</t>
        </is>
      </c>
      <c r="B955" s="1" t="n">
        <v>45624</v>
      </c>
      <c r="C955" s="1" t="n">
        <v>45847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56488-2024</t>
        </is>
      </c>
      <c r="B956" s="1" t="n">
        <v>45625</v>
      </c>
      <c r="C956" s="1" t="n">
        <v>45847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56498-2024</t>
        </is>
      </c>
      <c r="B957" s="1" t="n">
        <v>45625</v>
      </c>
      <c r="C957" s="1" t="n">
        <v>45847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56888-2024</t>
        </is>
      </c>
      <c r="B958" s="1" t="n">
        <v>45628</v>
      </c>
      <c r="C958" s="1" t="n">
        <v>45847</v>
      </c>
      <c r="D958" t="inlineStr">
        <is>
          <t>VÄSTERBOTTENS LÄN</t>
        </is>
      </c>
      <c r="E958" t="inlineStr">
        <is>
          <t>NORSJÖ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57176-2024</t>
        </is>
      </c>
      <c r="B959" s="1" t="n">
        <v>45629</v>
      </c>
      <c r="C959" s="1" t="n">
        <v>45847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57476-2024</t>
        </is>
      </c>
      <c r="B960" s="1" t="n">
        <v>45630</v>
      </c>
      <c r="C960" s="1" t="n">
        <v>45847</v>
      </c>
      <c r="D960" t="inlineStr">
        <is>
          <t>VÄSTERBOTTENS LÄN</t>
        </is>
      </c>
      <c r="E960" t="inlineStr">
        <is>
          <t>NORSJÖ</t>
        </is>
      </c>
      <c r="F960" t="inlineStr">
        <is>
          <t>Holmen skog AB</t>
        </is>
      </c>
      <c r="G960" t="n">
        <v>23.7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57642-2024</t>
        </is>
      </c>
      <c r="B961" s="1" t="n">
        <v>45630</v>
      </c>
      <c r="C961" s="1" t="n">
        <v>45847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57631-2024</t>
        </is>
      </c>
      <c r="B962" s="1" t="n">
        <v>45630</v>
      </c>
      <c r="C962" s="1" t="n">
        <v>45847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58011-2024</t>
        </is>
      </c>
      <c r="B963" s="1" t="n">
        <v>45631</v>
      </c>
      <c r="C963" s="1" t="n">
        <v>45847</v>
      </c>
      <c r="D963" t="inlineStr">
        <is>
          <t>VÄSTERBOTTENS LÄN</t>
        </is>
      </c>
      <c r="E963" t="inlineStr">
        <is>
          <t>NORSJÖ</t>
        </is>
      </c>
      <c r="G963" t="n">
        <v>14.8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58592-2024</t>
        </is>
      </c>
      <c r="B964" s="1" t="n">
        <v>45635</v>
      </c>
      <c r="C964" s="1" t="n">
        <v>45847</v>
      </c>
      <c r="D964" t="inlineStr">
        <is>
          <t>VÄSTERBOTTENS LÄN</t>
        </is>
      </c>
      <c r="E964" t="inlineStr">
        <is>
          <t>NORSJÖ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58801-2024</t>
        </is>
      </c>
      <c r="B965" s="1" t="n">
        <v>45635</v>
      </c>
      <c r="C965" s="1" t="n">
        <v>45847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59133-2024</t>
        </is>
      </c>
      <c r="B966" s="1" t="n">
        <v>45636</v>
      </c>
      <c r="C966" s="1" t="n">
        <v>45847</v>
      </c>
      <c r="D966" t="inlineStr">
        <is>
          <t>VÄSTERBOTTENS LÄN</t>
        </is>
      </c>
      <c r="E966" t="inlineStr">
        <is>
          <t>NORSJÖ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59541-2024</t>
        </is>
      </c>
      <c r="B967" s="1" t="n">
        <v>45638</v>
      </c>
      <c r="C967" s="1" t="n">
        <v>45847</v>
      </c>
      <c r="D967" t="inlineStr">
        <is>
          <t>VÄSTERBOTTENS LÄN</t>
        </is>
      </c>
      <c r="E967" t="inlineStr">
        <is>
          <t>NORSJÖ</t>
        </is>
      </c>
      <c r="G967" t="n">
        <v>16.9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59532-2024</t>
        </is>
      </c>
      <c r="B968" s="1" t="n">
        <v>45638</v>
      </c>
      <c r="C968" s="1" t="n">
        <v>45847</v>
      </c>
      <c r="D968" t="inlineStr">
        <is>
          <t>VÄSTERBOTTENS LÄN</t>
        </is>
      </c>
      <c r="E968" t="inlineStr">
        <is>
          <t>NORSJÖ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60206-2024</t>
        </is>
      </c>
      <c r="B969" s="1" t="n">
        <v>45642</v>
      </c>
      <c r="C969" s="1" t="n">
        <v>45847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Sveaskog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60663-2024</t>
        </is>
      </c>
      <c r="B970" s="1" t="n">
        <v>45644</v>
      </c>
      <c r="C970" s="1" t="n">
        <v>45847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60782-2024</t>
        </is>
      </c>
      <c r="B971" s="1" t="n">
        <v>45644</v>
      </c>
      <c r="C971" s="1" t="n">
        <v>45847</v>
      </c>
      <c r="D971" t="inlineStr">
        <is>
          <t>VÄSTERBOTTENS LÄN</t>
        </is>
      </c>
      <c r="E971" t="inlineStr">
        <is>
          <t>NORSJÖ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61025-2024</t>
        </is>
      </c>
      <c r="B972" s="1" t="n">
        <v>45644</v>
      </c>
      <c r="C972" s="1" t="n">
        <v>45847</v>
      </c>
      <c r="D972" t="inlineStr">
        <is>
          <t>VÄSTERBOTTENS LÄN</t>
        </is>
      </c>
      <c r="E972" t="inlineStr">
        <is>
          <t>NORSJÖ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62150-2024</t>
        </is>
      </c>
      <c r="B973" s="1" t="n">
        <v>45646</v>
      </c>
      <c r="C973" s="1" t="n">
        <v>45847</v>
      </c>
      <c r="D973" t="inlineStr">
        <is>
          <t>VÄSTERBOTTENS LÄN</t>
        </is>
      </c>
      <c r="E973" t="inlineStr">
        <is>
          <t>NORSJÖ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62151-2024</t>
        </is>
      </c>
      <c r="B974" s="1" t="n">
        <v>45646</v>
      </c>
      <c r="C974" s="1" t="n">
        <v>45847</v>
      </c>
      <c r="D974" t="inlineStr">
        <is>
          <t>VÄSTERBOTTENS LÄN</t>
        </is>
      </c>
      <c r="E974" t="inlineStr">
        <is>
          <t>NORSJÖ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891-2025</t>
        </is>
      </c>
      <c r="B975" s="1" t="n">
        <v>45665</v>
      </c>
      <c r="C975" s="1" t="n">
        <v>45847</v>
      </c>
      <c r="D975" t="inlineStr">
        <is>
          <t>VÄSTERBOTTENS LÄN</t>
        </is>
      </c>
      <c r="E975" t="inlineStr">
        <is>
          <t>NORSJÖ</t>
        </is>
      </c>
      <c r="F975" t="inlineStr">
        <is>
          <t>Holmen skog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1334-2025</t>
        </is>
      </c>
      <c r="B976" s="1" t="n">
        <v>45667</v>
      </c>
      <c r="C976" s="1" t="n">
        <v>45847</v>
      </c>
      <c r="D976" t="inlineStr">
        <is>
          <t>VÄSTERBOTTENS LÄN</t>
        </is>
      </c>
      <c r="E976" t="inlineStr">
        <is>
          <t>NORSJÖ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45847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1562-2025</t>
        </is>
      </c>
      <c r="B978" s="1" t="n">
        <v>45670</v>
      </c>
      <c r="C978" s="1" t="n">
        <v>45847</v>
      </c>
      <c r="D978" t="inlineStr">
        <is>
          <t>VÄSTERBOTTENS LÄN</t>
        </is>
      </c>
      <c r="E978" t="inlineStr">
        <is>
          <t>NORSJÖ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1517-2025</t>
        </is>
      </c>
      <c r="B979" s="1" t="n">
        <v>45670</v>
      </c>
      <c r="C979" s="1" t="n">
        <v>45847</v>
      </c>
      <c r="D979" t="inlineStr">
        <is>
          <t>VÄSTERBOTTENS LÄN</t>
        </is>
      </c>
      <c r="E979" t="inlineStr">
        <is>
          <t>NORSJÖ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1557-2025</t>
        </is>
      </c>
      <c r="B980" s="1" t="n">
        <v>45670</v>
      </c>
      <c r="C980" s="1" t="n">
        <v>45847</v>
      </c>
      <c r="D980" t="inlineStr">
        <is>
          <t>VÄSTERBOTTENS LÄN</t>
        </is>
      </c>
      <c r="E980" t="inlineStr">
        <is>
          <t>NORSJÖ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2119-2025</t>
        </is>
      </c>
      <c r="B981" s="1" t="n">
        <v>45672</v>
      </c>
      <c r="C981" s="1" t="n">
        <v>45847</v>
      </c>
      <c r="D981" t="inlineStr">
        <is>
          <t>VÄSTERBOTTENS LÄN</t>
        </is>
      </c>
      <c r="E981" t="inlineStr">
        <is>
          <t>NORSJÖ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2331-2025</t>
        </is>
      </c>
      <c r="B982" s="1" t="n">
        <v>45673</v>
      </c>
      <c r="C982" s="1" t="n">
        <v>45847</v>
      </c>
      <c r="D982" t="inlineStr">
        <is>
          <t>VÄSTERBOTTENS LÄN</t>
        </is>
      </c>
      <c r="E982" t="inlineStr">
        <is>
          <t>NORSJÖ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2965-2025</t>
        </is>
      </c>
      <c r="B983" s="1" t="n">
        <v>45678</v>
      </c>
      <c r="C983" s="1" t="n">
        <v>45847</v>
      </c>
      <c r="D983" t="inlineStr">
        <is>
          <t>VÄSTERBOTTENS LÄN</t>
        </is>
      </c>
      <c r="E983" t="inlineStr">
        <is>
          <t>NORSJÖ</t>
        </is>
      </c>
      <c r="G983" t="n">
        <v>19.6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2964-2025</t>
        </is>
      </c>
      <c r="B984" s="1" t="n">
        <v>45678</v>
      </c>
      <c r="C984" s="1" t="n">
        <v>45847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5497-2025</t>
        </is>
      </c>
      <c r="B985" s="1" t="n">
        <v>45693</v>
      </c>
      <c r="C985" s="1" t="n">
        <v>45847</v>
      </c>
      <c r="D985" t="inlineStr">
        <is>
          <t>VÄSTERBOTTENS LÄN</t>
        </is>
      </c>
      <c r="E985" t="inlineStr">
        <is>
          <t>NORSJÖ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5770-2025</t>
        </is>
      </c>
      <c r="B986" s="1" t="n">
        <v>45694</v>
      </c>
      <c r="C986" s="1" t="n">
        <v>45847</v>
      </c>
      <c r="D986" t="inlineStr">
        <is>
          <t>VÄSTERBOTTENS LÄN</t>
        </is>
      </c>
      <c r="E986" t="inlineStr">
        <is>
          <t>NORSJÖ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5772-2025</t>
        </is>
      </c>
      <c r="B987" s="1" t="n">
        <v>45694</v>
      </c>
      <c r="C987" s="1" t="n">
        <v>45847</v>
      </c>
      <c r="D987" t="inlineStr">
        <is>
          <t>VÄSTERBOTTENS LÄN</t>
        </is>
      </c>
      <c r="E987" t="inlineStr">
        <is>
          <t>NORSJÖ</t>
        </is>
      </c>
      <c r="F987" t="inlineStr">
        <is>
          <t>Holmen skog AB</t>
        </is>
      </c>
      <c r="G987" t="n">
        <v>11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6344-2025</t>
        </is>
      </c>
      <c r="B988" s="1" t="n">
        <v>45699</v>
      </c>
      <c r="C988" s="1" t="n">
        <v>45847</v>
      </c>
      <c r="D988" t="inlineStr">
        <is>
          <t>VÄSTERBOTTENS LÄN</t>
        </is>
      </c>
      <c r="E988" t="inlineStr">
        <is>
          <t>NORSJÖ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6665-2025</t>
        </is>
      </c>
      <c r="B989" s="1" t="n">
        <v>45700</v>
      </c>
      <c r="C989" s="1" t="n">
        <v>45847</v>
      </c>
      <c r="D989" t="inlineStr">
        <is>
          <t>VÄSTERBOTTENS LÄN</t>
        </is>
      </c>
      <c r="E989" t="inlineStr">
        <is>
          <t>NORSJÖ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8159-2025</t>
        </is>
      </c>
      <c r="B990" s="1" t="n">
        <v>45708</v>
      </c>
      <c r="C990" s="1" t="n">
        <v>45847</v>
      </c>
      <c r="D990" t="inlineStr">
        <is>
          <t>VÄSTERBOTTENS LÄN</t>
        </is>
      </c>
      <c r="E990" t="inlineStr">
        <is>
          <t>NORSJÖ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10134-2025</t>
        </is>
      </c>
      <c r="B991" s="1" t="n">
        <v>45719</v>
      </c>
      <c r="C991" s="1" t="n">
        <v>45847</v>
      </c>
      <c r="D991" t="inlineStr">
        <is>
          <t>VÄSTERBOTTENS LÄN</t>
        </is>
      </c>
      <c r="E991" t="inlineStr">
        <is>
          <t>NORSJÖ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10112-2025</t>
        </is>
      </c>
      <c r="B992" s="1" t="n">
        <v>45719</v>
      </c>
      <c r="C992" s="1" t="n">
        <v>45847</v>
      </c>
      <c r="D992" t="inlineStr">
        <is>
          <t>VÄSTERBOTTENS LÄN</t>
        </is>
      </c>
      <c r="E992" t="inlineStr">
        <is>
          <t>NORSJÖ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10320-2025</t>
        </is>
      </c>
      <c r="B993" s="1" t="n">
        <v>45720</v>
      </c>
      <c r="C993" s="1" t="n">
        <v>45847</v>
      </c>
      <c r="D993" t="inlineStr">
        <is>
          <t>VÄSTERBOTTENS LÄN</t>
        </is>
      </c>
      <c r="E993" t="inlineStr">
        <is>
          <t>NORSJÖ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10341-2025</t>
        </is>
      </c>
      <c r="B994" s="1" t="n">
        <v>45720</v>
      </c>
      <c r="C994" s="1" t="n">
        <v>45847</v>
      </c>
      <c r="D994" t="inlineStr">
        <is>
          <t>VÄSTERBOTTENS LÄN</t>
        </is>
      </c>
      <c r="E994" t="inlineStr">
        <is>
          <t>NORSJÖ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10988-2025</t>
        </is>
      </c>
      <c r="B995" s="1" t="n">
        <v>45723</v>
      </c>
      <c r="C995" s="1" t="n">
        <v>45847</v>
      </c>
      <c r="D995" t="inlineStr">
        <is>
          <t>VÄSTERBOTTENS LÄN</t>
        </is>
      </c>
      <c r="E995" t="inlineStr">
        <is>
          <t>NORSJÖ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11747-2025</t>
        </is>
      </c>
      <c r="B996" s="1" t="n">
        <v>45727</v>
      </c>
      <c r="C996" s="1" t="n">
        <v>45847</v>
      </c>
      <c r="D996" t="inlineStr">
        <is>
          <t>VÄSTERBOTTENS LÄN</t>
        </is>
      </c>
      <c r="E996" t="inlineStr">
        <is>
          <t>NORSJÖ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12445-2025</t>
        </is>
      </c>
      <c r="B997" s="1" t="n">
        <v>45730</v>
      </c>
      <c r="C997" s="1" t="n">
        <v>45847</v>
      </c>
      <c r="D997" t="inlineStr">
        <is>
          <t>VÄSTERBOTTENS LÄN</t>
        </is>
      </c>
      <c r="E997" t="inlineStr">
        <is>
          <t>NORSJÖ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12810-2025</t>
        </is>
      </c>
      <c r="B998" s="1" t="n">
        <v>45733</v>
      </c>
      <c r="C998" s="1" t="n">
        <v>45847</v>
      </c>
      <c r="D998" t="inlineStr">
        <is>
          <t>VÄSTERBOTTENS LÄN</t>
        </is>
      </c>
      <c r="E998" t="inlineStr">
        <is>
          <t>NORSJÖ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12944-2025</t>
        </is>
      </c>
      <c r="B999" s="1" t="n">
        <v>45734</v>
      </c>
      <c r="C999" s="1" t="n">
        <v>45847</v>
      </c>
      <c r="D999" t="inlineStr">
        <is>
          <t>VÄSTERBOTTENS LÄN</t>
        </is>
      </c>
      <c r="E999" t="inlineStr">
        <is>
          <t>NORSJÖ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13628-2025</t>
        </is>
      </c>
      <c r="B1000" s="1" t="n">
        <v>45736</v>
      </c>
      <c r="C1000" s="1" t="n">
        <v>45847</v>
      </c>
      <c r="D1000" t="inlineStr">
        <is>
          <t>VÄSTERBOTTENS LÄN</t>
        </is>
      </c>
      <c r="E1000" t="inlineStr">
        <is>
          <t>NORSJÖ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13725-2025</t>
        </is>
      </c>
      <c r="B1001" s="1" t="n">
        <v>45737</v>
      </c>
      <c r="C1001" s="1" t="n">
        <v>45847</v>
      </c>
      <c r="D1001" t="inlineStr">
        <is>
          <t>VÄSTERBOTTENS LÄN</t>
        </is>
      </c>
      <c r="E1001" t="inlineStr">
        <is>
          <t>NORSJÖ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14746-2025</t>
        </is>
      </c>
      <c r="B1002" s="1" t="n">
        <v>45742</v>
      </c>
      <c r="C1002" s="1" t="n">
        <v>45847</v>
      </c>
      <c r="D1002" t="inlineStr">
        <is>
          <t>VÄSTERBOTTENS LÄN</t>
        </is>
      </c>
      <c r="E1002" t="inlineStr">
        <is>
          <t>NORSJÖ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14742-2025</t>
        </is>
      </c>
      <c r="B1003" s="1" t="n">
        <v>45742</v>
      </c>
      <c r="C1003" s="1" t="n">
        <v>45847</v>
      </c>
      <c r="D1003" t="inlineStr">
        <is>
          <t>VÄSTERBOTTENS LÄN</t>
        </is>
      </c>
      <c r="E1003" t="inlineStr">
        <is>
          <t>NORSJÖ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14745-2025</t>
        </is>
      </c>
      <c r="B1004" s="1" t="n">
        <v>45742</v>
      </c>
      <c r="C1004" s="1" t="n">
        <v>45847</v>
      </c>
      <c r="D1004" t="inlineStr">
        <is>
          <t>VÄSTERBOTTENS LÄN</t>
        </is>
      </c>
      <c r="E1004" t="inlineStr">
        <is>
          <t>NORSJÖ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14747-2025</t>
        </is>
      </c>
      <c r="B1005" s="1" t="n">
        <v>45742</v>
      </c>
      <c r="C1005" s="1" t="n">
        <v>45847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14826-2025</t>
        </is>
      </c>
      <c r="B1006" s="1" t="n">
        <v>45743</v>
      </c>
      <c r="C1006" s="1" t="n">
        <v>45847</v>
      </c>
      <c r="D1006" t="inlineStr">
        <is>
          <t>VÄSTERBOTTENS LÄN</t>
        </is>
      </c>
      <c r="E1006" t="inlineStr">
        <is>
          <t>NORSJÖ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14863-2025</t>
        </is>
      </c>
      <c r="B1007" s="1" t="n">
        <v>45743</v>
      </c>
      <c r="C1007" s="1" t="n">
        <v>45847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14966-2025</t>
        </is>
      </c>
      <c r="B1008" s="1" t="n">
        <v>45743</v>
      </c>
      <c r="C1008" s="1" t="n">
        <v>45847</v>
      </c>
      <c r="D1008" t="inlineStr">
        <is>
          <t>VÄSTERBOTTENS LÄN</t>
        </is>
      </c>
      <c r="E1008" t="inlineStr">
        <is>
          <t>NORSJÖ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14987-2025</t>
        </is>
      </c>
      <c r="B1009" s="1" t="n">
        <v>45743</v>
      </c>
      <c r="C1009" s="1" t="n">
        <v>45847</v>
      </c>
      <c r="D1009" t="inlineStr">
        <is>
          <t>VÄSTERBOTTENS LÄN</t>
        </is>
      </c>
      <c r="E1009" t="inlineStr">
        <is>
          <t>NORSJÖ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14983-2025</t>
        </is>
      </c>
      <c r="B1010" s="1" t="n">
        <v>45743</v>
      </c>
      <c r="C1010" s="1" t="n">
        <v>45847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15807-2025</t>
        </is>
      </c>
      <c r="B1011" s="1" t="n">
        <v>45748</v>
      </c>
      <c r="C1011" s="1" t="n">
        <v>45847</v>
      </c>
      <c r="D1011" t="inlineStr">
        <is>
          <t>VÄSTERBOTTENS LÄN</t>
        </is>
      </c>
      <c r="E1011" t="inlineStr">
        <is>
          <t>NORSJÖ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15806-2025</t>
        </is>
      </c>
      <c r="B1012" s="1" t="n">
        <v>45748</v>
      </c>
      <c r="C1012" s="1" t="n">
        <v>45847</v>
      </c>
      <c r="D1012" t="inlineStr">
        <is>
          <t>VÄSTERBOTTENS LÄN</t>
        </is>
      </c>
      <c r="E1012" t="inlineStr">
        <is>
          <t>NORSJÖ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16036-2025</t>
        </is>
      </c>
      <c r="B1013" s="1" t="n">
        <v>45748</v>
      </c>
      <c r="C1013" s="1" t="n">
        <v>45847</v>
      </c>
      <c r="D1013" t="inlineStr">
        <is>
          <t>VÄSTERBOTTENS LÄN</t>
        </is>
      </c>
      <c r="E1013" t="inlineStr">
        <is>
          <t>NORSJÖ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16030-2025</t>
        </is>
      </c>
      <c r="B1014" s="1" t="n">
        <v>45748</v>
      </c>
      <c r="C1014" s="1" t="n">
        <v>45847</v>
      </c>
      <c r="D1014" t="inlineStr">
        <is>
          <t>VÄSTERBOTTENS LÄN</t>
        </is>
      </c>
      <c r="E1014" t="inlineStr">
        <is>
          <t>NORSJÖ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15874-2025</t>
        </is>
      </c>
      <c r="B1015" s="1" t="n">
        <v>45749</v>
      </c>
      <c r="C1015" s="1" t="n">
        <v>45847</v>
      </c>
      <c r="D1015" t="inlineStr">
        <is>
          <t>VÄSTERBOTTENS LÄN</t>
        </is>
      </c>
      <c r="E1015" t="inlineStr">
        <is>
          <t>NORSJÖ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16325-2025</t>
        </is>
      </c>
      <c r="B1016" s="1" t="n">
        <v>45750</v>
      </c>
      <c r="C1016" s="1" t="n">
        <v>45847</v>
      </c>
      <c r="D1016" t="inlineStr">
        <is>
          <t>VÄSTERBOTTENS LÄN</t>
        </is>
      </c>
      <c r="E1016" t="inlineStr">
        <is>
          <t>NORSJÖ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16231-2025</t>
        </is>
      </c>
      <c r="B1017" s="1" t="n">
        <v>45750</v>
      </c>
      <c r="C1017" s="1" t="n">
        <v>45847</v>
      </c>
      <c r="D1017" t="inlineStr">
        <is>
          <t>VÄSTERBOTTENS LÄN</t>
        </is>
      </c>
      <c r="E1017" t="inlineStr">
        <is>
          <t>NORSJÖ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16232-2025</t>
        </is>
      </c>
      <c r="B1018" s="1" t="n">
        <v>45750</v>
      </c>
      <c r="C1018" s="1" t="n">
        <v>45847</v>
      </c>
      <c r="D1018" t="inlineStr">
        <is>
          <t>VÄSTERBOTTENS LÄN</t>
        </is>
      </c>
      <c r="E1018" t="inlineStr">
        <is>
          <t>NORSJÖ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16233-2025</t>
        </is>
      </c>
      <c r="B1019" s="1" t="n">
        <v>45750</v>
      </c>
      <c r="C1019" s="1" t="n">
        <v>45847</v>
      </c>
      <c r="D1019" t="inlineStr">
        <is>
          <t>VÄSTERBOTTENS LÄN</t>
        </is>
      </c>
      <c r="E1019" t="inlineStr">
        <is>
          <t>NORSJÖ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16229-2025</t>
        </is>
      </c>
      <c r="B1020" s="1" t="n">
        <v>45750</v>
      </c>
      <c r="C1020" s="1" t="n">
        <v>45847</v>
      </c>
      <c r="D1020" t="inlineStr">
        <is>
          <t>VÄSTERBOTTENS LÄN</t>
        </is>
      </c>
      <c r="E1020" t="inlineStr">
        <is>
          <t>NORSJÖ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16659-2025</t>
        </is>
      </c>
      <c r="B1021" s="1" t="n">
        <v>45754</v>
      </c>
      <c r="C1021" s="1" t="n">
        <v>45847</v>
      </c>
      <c r="D1021" t="inlineStr">
        <is>
          <t>VÄSTERBOTTENS LÄN</t>
        </is>
      </c>
      <c r="E1021" t="inlineStr">
        <is>
          <t>NORSJÖ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16661-2025</t>
        </is>
      </c>
      <c r="B1022" s="1" t="n">
        <v>45754</v>
      </c>
      <c r="C1022" s="1" t="n">
        <v>45847</v>
      </c>
      <c r="D1022" t="inlineStr">
        <is>
          <t>VÄSTERBOTTENS LÄN</t>
        </is>
      </c>
      <c r="E1022" t="inlineStr">
        <is>
          <t>NORSJÖ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16660-2025</t>
        </is>
      </c>
      <c r="B1023" s="1" t="n">
        <v>45754</v>
      </c>
      <c r="C1023" s="1" t="n">
        <v>45847</v>
      </c>
      <c r="D1023" t="inlineStr">
        <is>
          <t>VÄSTERBOTTENS LÄN</t>
        </is>
      </c>
      <c r="E1023" t="inlineStr">
        <is>
          <t>NORSJÖ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17228-2025</t>
        </is>
      </c>
      <c r="B1024" s="1" t="n">
        <v>45756</v>
      </c>
      <c r="C1024" s="1" t="n">
        <v>45847</v>
      </c>
      <c r="D1024" t="inlineStr">
        <is>
          <t>VÄSTERBOTTENS LÄN</t>
        </is>
      </c>
      <c r="E1024" t="inlineStr">
        <is>
          <t>NORSJÖ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18666-2025</t>
        </is>
      </c>
      <c r="B1025" s="1" t="n">
        <v>45763</v>
      </c>
      <c r="C1025" s="1" t="n">
        <v>45847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18667-2025</t>
        </is>
      </c>
      <c r="B1026" s="1" t="n">
        <v>45763</v>
      </c>
      <c r="C1026" s="1" t="n">
        <v>45847</v>
      </c>
      <c r="D1026" t="inlineStr">
        <is>
          <t>VÄSTERBOTTENS LÄN</t>
        </is>
      </c>
      <c r="E1026" t="inlineStr">
        <is>
          <t>NORSJÖ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18668-2025</t>
        </is>
      </c>
      <c r="B1027" s="1" t="n">
        <v>45763</v>
      </c>
      <c r="C1027" s="1" t="n">
        <v>45847</v>
      </c>
      <c r="D1027" t="inlineStr">
        <is>
          <t>VÄSTERBOTTENS LÄN</t>
        </is>
      </c>
      <c r="E1027" t="inlineStr">
        <is>
          <t>NORSJÖ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18670-2025</t>
        </is>
      </c>
      <c r="B1028" s="1" t="n">
        <v>45763</v>
      </c>
      <c r="C1028" s="1" t="n">
        <v>45847</v>
      </c>
      <c r="D1028" t="inlineStr">
        <is>
          <t>VÄSTERBOTTENS LÄN</t>
        </is>
      </c>
      <c r="E1028" t="inlineStr">
        <is>
          <t>NORSJÖ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21906-2025</t>
        </is>
      </c>
      <c r="B1029" s="1" t="n">
        <v>45784</v>
      </c>
      <c r="C1029" s="1" t="n">
        <v>45847</v>
      </c>
      <c r="D1029" t="inlineStr">
        <is>
          <t>VÄSTERBOTTENS LÄN</t>
        </is>
      </c>
      <c r="E1029" t="inlineStr">
        <is>
          <t>NORSJÖ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22551-2025</t>
        </is>
      </c>
      <c r="B1030" s="1" t="n">
        <v>45788</v>
      </c>
      <c r="C1030" s="1" t="n">
        <v>45847</v>
      </c>
      <c r="D1030" t="inlineStr">
        <is>
          <t>VÄSTERBOTTENS LÄN</t>
        </is>
      </c>
      <c r="E1030" t="inlineStr">
        <is>
          <t>NORSJÖ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23523-2025</t>
        </is>
      </c>
      <c r="B1031" s="1" t="n">
        <v>45792</v>
      </c>
      <c r="C1031" s="1" t="n">
        <v>45847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24171-2025</t>
        </is>
      </c>
      <c r="B1032" s="1" t="n">
        <v>45796</v>
      </c>
      <c r="C1032" s="1" t="n">
        <v>45847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23971-2025</t>
        </is>
      </c>
      <c r="B1033" s="1" t="n">
        <v>45796</v>
      </c>
      <c r="C1033" s="1" t="n">
        <v>45847</v>
      </c>
      <c r="D1033" t="inlineStr">
        <is>
          <t>VÄSTERBOTTENS LÄN</t>
        </is>
      </c>
      <c r="E1033" t="inlineStr">
        <is>
          <t>NORSJÖ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24676-2025</t>
        </is>
      </c>
      <c r="B1034" s="1" t="n">
        <v>45798</v>
      </c>
      <c r="C1034" s="1" t="n">
        <v>45847</v>
      </c>
      <c r="D1034" t="inlineStr">
        <is>
          <t>VÄSTERBOTTENS LÄN</t>
        </is>
      </c>
      <c r="E1034" t="inlineStr">
        <is>
          <t>NORSJÖ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24650-2025</t>
        </is>
      </c>
      <c r="B1035" s="1" t="n">
        <v>45798</v>
      </c>
      <c r="C1035" s="1" t="n">
        <v>45847</v>
      </c>
      <c r="D1035" t="inlineStr">
        <is>
          <t>VÄSTERBOTTENS LÄN</t>
        </is>
      </c>
      <c r="E1035" t="inlineStr">
        <is>
          <t>NORSJÖ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24891-2025</t>
        </is>
      </c>
      <c r="B1036" s="1" t="n">
        <v>45799</v>
      </c>
      <c r="C1036" s="1" t="n">
        <v>45847</v>
      </c>
      <c r="D1036" t="inlineStr">
        <is>
          <t>VÄSTERBOTTENS LÄN</t>
        </is>
      </c>
      <c r="E1036" t="inlineStr">
        <is>
          <t>NORSJÖ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24932-2025</t>
        </is>
      </c>
      <c r="B1037" s="1" t="n">
        <v>45799</v>
      </c>
      <c r="C1037" s="1" t="n">
        <v>45847</v>
      </c>
      <c r="D1037" t="inlineStr">
        <is>
          <t>VÄSTERBOTTENS LÄN</t>
        </is>
      </c>
      <c r="E1037" t="inlineStr">
        <is>
          <t>NORSJÖ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24935-2025</t>
        </is>
      </c>
      <c r="B1038" s="1" t="n">
        <v>45799</v>
      </c>
      <c r="C1038" s="1" t="n">
        <v>45847</v>
      </c>
      <c r="D1038" t="inlineStr">
        <is>
          <t>VÄSTERBOTTENS LÄN</t>
        </is>
      </c>
      <c r="E1038" t="inlineStr">
        <is>
          <t>NORSJÖ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24930-2025</t>
        </is>
      </c>
      <c r="B1039" s="1" t="n">
        <v>45799</v>
      </c>
      <c r="C1039" s="1" t="n">
        <v>45847</v>
      </c>
      <c r="D1039" t="inlineStr">
        <is>
          <t>VÄSTERBOTTENS LÄN</t>
        </is>
      </c>
      <c r="E1039" t="inlineStr">
        <is>
          <t>NORSJÖ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25662-2025</t>
        </is>
      </c>
      <c r="B1040" s="1" t="n">
        <v>45803</v>
      </c>
      <c r="C1040" s="1" t="n">
        <v>45847</v>
      </c>
      <c r="D1040" t="inlineStr">
        <is>
          <t>VÄSTERBOTTENS LÄN</t>
        </is>
      </c>
      <c r="E1040" t="inlineStr">
        <is>
          <t>NORSJÖ</t>
        </is>
      </c>
      <c r="G1040" t="n">
        <v>7.6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25657-2025</t>
        </is>
      </c>
      <c r="B1041" s="1" t="n">
        <v>45803</v>
      </c>
      <c r="C1041" s="1" t="n">
        <v>45847</v>
      </c>
      <c r="D1041" t="inlineStr">
        <is>
          <t>VÄSTERBOTTENS LÄN</t>
        </is>
      </c>
      <c r="E1041" t="inlineStr">
        <is>
          <t>NORSJÖ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27214-2025</t>
        </is>
      </c>
      <c r="B1042" s="1" t="n">
        <v>45812</v>
      </c>
      <c r="C1042" s="1" t="n">
        <v>45847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28908-2025</t>
        </is>
      </c>
      <c r="B1043" s="1" t="n">
        <v>45820</v>
      </c>
      <c r="C1043" s="1" t="n">
        <v>45847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18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28822-2025</t>
        </is>
      </c>
      <c r="B1044" s="1" t="n">
        <v>45820</v>
      </c>
      <c r="C1044" s="1" t="n">
        <v>45847</v>
      </c>
      <c r="D1044" t="inlineStr">
        <is>
          <t>VÄSTERBOTTENS LÄN</t>
        </is>
      </c>
      <c r="E1044" t="inlineStr">
        <is>
          <t>NORSJÖ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28808-2025</t>
        </is>
      </c>
      <c r="B1045" s="1" t="n">
        <v>45820</v>
      </c>
      <c r="C1045" s="1" t="n">
        <v>45847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28823-2025</t>
        </is>
      </c>
      <c r="B1046" s="1" t="n">
        <v>45820</v>
      </c>
      <c r="C1046" s="1" t="n">
        <v>45847</v>
      </c>
      <c r="D1046" t="inlineStr">
        <is>
          <t>VÄSTERBOTTENS LÄN</t>
        </is>
      </c>
      <c r="E1046" t="inlineStr">
        <is>
          <t>NORSJÖ</t>
        </is>
      </c>
      <c r="G1046" t="n">
        <v>14.1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28999-2025</t>
        </is>
      </c>
      <c r="B1047" s="1" t="n">
        <v>45821</v>
      </c>
      <c r="C1047" s="1" t="n">
        <v>45847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29395-2025</t>
        </is>
      </c>
      <c r="B1048" s="1" t="n">
        <v>45824</v>
      </c>
      <c r="C1048" s="1" t="n">
        <v>45847</v>
      </c>
      <c r="D1048" t="inlineStr">
        <is>
          <t>VÄSTERBOTTENS LÄN</t>
        </is>
      </c>
      <c r="E1048" t="inlineStr">
        <is>
          <t>NORSJÖ</t>
        </is>
      </c>
      <c r="F1048" t="inlineStr">
        <is>
          <t>Holmen skog AB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29347-2025</t>
        </is>
      </c>
      <c r="B1049" s="1" t="n">
        <v>45824</v>
      </c>
      <c r="C1049" s="1" t="n">
        <v>45847</v>
      </c>
      <c r="D1049" t="inlineStr">
        <is>
          <t>VÄSTERBOTTENS LÄN</t>
        </is>
      </c>
      <c r="E1049" t="inlineStr">
        <is>
          <t>NORSJÖ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29475-2025</t>
        </is>
      </c>
      <c r="B1050" s="1" t="n">
        <v>45824</v>
      </c>
      <c r="C1050" s="1" t="n">
        <v>45847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29379-2025</t>
        </is>
      </c>
      <c r="B1051" s="1" t="n">
        <v>45824</v>
      </c>
      <c r="C1051" s="1" t="n">
        <v>45847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29524-2025</t>
        </is>
      </c>
      <c r="B1052" s="1" t="n">
        <v>45825</v>
      </c>
      <c r="C1052" s="1" t="n">
        <v>45847</v>
      </c>
      <c r="D1052" t="inlineStr">
        <is>
          <t>VÄSTERBOTTENS LÄN</t>
        </is>
      </c>
      <c r="E1052" t="inlineStr">
        <is>
          <t>NORSJÖ</t>
        </is>
      </c>
      <c r="G1052" t="n">
        <v>11.7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29682-2025</t>
        </is>
      </c>
      <c r="B1053" s="1" t="n">
        <v>45825</v>
      </c>
      <c r="C1053" s="1" t="n">
        <v>45847</v>
      </c>
      <c r="D1053" t="inlineStr">
        <is>
          <t>VÄSTERBOTTENS LÄN</t>
        </is>
      </c>
      <c r="E1053" t="inlineStr">
        <is>
          <t>NORSJÖ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30021-2025</t>
        </is>
      </c>
      <c r="B1054" s="1" t="n">
        <v>45826</v>
      </c>
      <c r="C1054" s="1" t="n">
        <v>45847</v>
      </c>
      <c r="D1054" t="inlineStr">
        <is>
          <t>VÄSTERBOTTENS LÄN</t>
        </is>
      </c>
      <c r="E1054" t="inlineStr">
        <is>
          <t>NORSJÖ</t>
        </is>
      </c>
      <c r="G1054" t="n">
        <v>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30588-2025</t>
        </is>
      </c>
      <c r="B1055" s="1" t="n">
        <v>45831</v>
      </c>
      <c r="C1055" s="1" t="n">
        <v>45847</v>
      </c>
      <c r="D1055" t="inlineStr">
        <is>
          <t>VÄSTERBOTTENS LÄN</t>
        </is>
      </c>
      <c r="E1055" t="inlineStr">
        <is>
          <t>NORSJÖ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30575-2025</t>
        </is>
      </c>
      <c r="B1056" s="1" t="n">
        <v>45831</v>
      </c>
      <c r="C1056" s="1" t="n">
        <v>45847</v>
      </c>
      <c r="D1056" t="inlineStr">
        <is>
          <t>VÄSTERBOTTENS LÄN</t>
        </is>
      </c>
      <c r="E1056" t="inlineStr">
        <is>
          <t>NORSJÖ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30590-2025</t>
        </is>
      </c>
      <c r="B1057" s="1" t="n">
        <v>45831</v>
      </c>
      <c r="C1057" s="1" t="n">
        <v>45847</v>
      </c>
      <c r="D1057" t="inlineStr">
        <is>
          <t>VÄSTERBOTTENS LÄN</t>
        </is>
      </c>
      <c r="E1057" t="inlineStr">
        <is>
          <t>NORSJÖ</t>
        </is>
      </c>
      <c r="G1057" t="n">
        <v>21.9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30894-2025</t>
        </is>
      </c>
      <c r="B1058" s="1" t="n">
        <v>45832</v>
      </c>
      <c r="C1058" s="1" t="n">
        <v>45847</v>
      </c>
      <c r="D1058" t="inlineStr">
        <is>
          <t>VÄSTERBOTTENS LÄN</t>
        </is>
      </c>
      <c r="E1058" t="inlineStr">
        <is>
          <t>NORSJÖ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31501-2025</t>
        </is>
      </c>
      <c r="B1059" s="1" t="n">
        <v>45833</v>
      </c>
      <c r="C1059" s="1" t="n">
        <v>45847</v>
      </c>
      <c r="D1059" t="inlineStr">
        <is>
          <t>VÄSTERBOTTENS LÄN</t>
        </is>
      </c>
      <c r="E1059" t="inlineStr">
        <is>
          <t>NORSJÖ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31583-2025</t>
        </is>
      </c>
      <c r="B1060" s="1" t="n">
        <v>45833</v>
      </c>
      <c r="C1060" s="1" t="n">
        <v>45847</v>
      </c>
      <c r="D1060" t="inlineStr">
        <is>
          <t>VÄSTERBOTTENS LÄN</t>
        </is>
      </c>
      <c r="E1060" t="inlineStr">
        <is>
          <t>NORSJÖ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31512-2025</t>
        </is>
      </c>
      <c r="B1061" s="1" t="n">
        <v>45833</v>
      </c>
      <c r="C1061" s="1" t="n">
        <v>45847</v>
      </c>
      <c r="D1061" t="inlineStr">
        <is>
          <t>VÄSTERBOTTENS LÄN</t>
        </is>
      </c>
      <c r="E1061" t="inlineStr">
        <is>
          <t>NORSJÖ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32439-2025</t>
        </is>
      </c>
      <c r="B1062" s="1" t="n">
        <v>45838</v>
      </c>
      <c r="C1062" s="1" t="n">
        <v>45847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32455-2025</t>
        </is>
      </c>
      <c r="B1063" s="1" t="n">
        <v>45838</v>
      </c>
      <c r="C1063" s="1" t="n">
        <v>45847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33242-2025</t>
        </is>
      </c>
      <c r="B1064" s="1" t="n">
        <v>45840</v>
      </c>
      <c r="C1064" s="1" t="n">
        <v>45847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33167-2025</t>
        </is>
      </c>
      <c r="B1065" s="1" t="n">
        <v>45840</v>
      </c>
      <c r="C1065" s="1" t="n">
        <v>45847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33020-2025</t>
        </is>
      </c>
      <c r="B1066" s="1" t="n">
        <v>45840</v>
      </c>
      <c r="C1066" s="1" t="n">
        <v>45847</v>
      </c>
      <c r="D1066" t="inlineStr">
        <is>
          <t>VÄSTERBOTTENS LÄN</t>
        </is>
      </c>
      <c r="E1066" t="inlineStr">
        <is>
          <t>NORSJÖ</t>
        </is>
      </c>
      <c r="G1066" t="n">
        <v>19.1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33389-2025</t>
        </is>
      </c>
      <c r="B1067" s="1" t="n">
        <v>45841</v>
      </c>
      <c r="C1067" s="1" t="n">
        <v>45847</v>
      </c>
      <c r="D1067" t="inlineStr">
        <is>
          <t>VÄSTERBOTTENS LÄN</t>
        </is>
      </c>
      <c r="E1067" t="inlineStr">
        <is>
          <t>NORSJÖ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33615-2025</t>
        </is>
      </c>
      <c r="B1068" s="1" t="n">
        <v>45841</v>
      </c>
      <c r="C1068" s="1" t="n">
        <v>45847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33894-2025</t>
        </is>
      </c>
      <c r="B1069" s="1" t="n">
        <v>45842</v>
      </c>
      <c r="C1069" s="1" t="n">
        <v>45847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33787-2025</t>
        </is>
      </c>
      <c r="B1070" s="1" t="n">
        <v>45842</v>
      </c>
      <c r="C1070" s="1" t="n">
        <v>45847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33920-2025</t>
        </is>
      </c>
      <c r="B1071" s="1" t="n">
        <v>45842</v>
      </c>
      <c r="C1071" s="1" t="n">
        <v>45847</v>
      </c>
      <c r="D1071" t="inlineStr">
        <is>
          <t>VÄSTERBOTTENS LÄN</t>
        </is>
      </c>
      <c r="E1071" t="inlineStr">
        <is>
          <t>NORSJÖ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33943-2025</t>
        </is>
      </c>
      <c r="B1072" s="1" t="n">
        <v>45842</v>
      </c>
      <c r="C1072" s="1" t="n">
        <v>45847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Holmen skog AB</t>
        </is>
      </c>
      <c r="G1072" t="n">
        <v>12.3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33893-2025</t>
        </is>
      </c>
      <c r="B1073" s="1" t="n">
        <v>45842</v>
      </c>
      <c r="C1073" s="1" t="n">
        <v>45847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13.2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33901-2025</t>
        </is>
      </c>
      <c r="B1074" s="1" t="n">
        <v>45842</v>
      </c>
      <c r="C1074" s="1" t="n">
        <v>45847</v>
      </c>
      <c r="D1074" t="inlineStr">
        <is>
          <t>VÄSTERBOTTENS LÄN</t>
        </is>
      </c>
      <c r="E1074" t="inlineStr">
        <is>
          <t>NORSJÖ</t>
        </is>
      </c>
      <c r="F1074" t="inlineStr">
        <is>
          <t>Sveaskog</t>
        </is>
      </c>
      <c r="G1074" t="n">
        <v>17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2025-07-09T20:43:52Z</dcterms:created>
  <dcterms:modified xmlns:dcterms="http://purl.org/dc/terms/" xmlns:xsi="http://www.w3.org/2001/XMLSchema-instance" xsi:type="dcterms:W3CDTF">2025-07-09T20:43:53Z</dcterms:modified>
</cp:coreProperties>
</file>