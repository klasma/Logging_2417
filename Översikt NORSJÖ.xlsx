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45627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45627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45627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45627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45627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45627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45627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45627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45627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45627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45627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45627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45627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47332-2024</t>
        </is>
      </c>
      <c r="B15" s="1" t="n">
        <v>45587</v>
      </c>
      <c r="C15" s="1" t="n">
        <v>45627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51644-2021</t>
        </is>
      </c>
      <c r="B16" s="1" t="n">
        <v>44462</v>
      </c>
      <c r="C16" s="1" t="n">
        <v>45627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Bårdlav
Stuplav</t>
        </is>
      </c>
      <c r="S16">
        <f>HYPERLINK("https://klasma.github.io/Logging_2417/artfynd/A 51644-2021 artfynd.xlsx", "A 51644-2021")</f>
        <v/>
      </c>
      <c r="T16">
        <f>HYPERLINK("https://klasma.github.io/Logging_2417/kartor/A 51644-2021 karta.png", "A 51644-2021")</f>
        <v/>
      </c>
      <c r="V16">
        <f>HYPERLINK("https://klasma.github.io/Logging_2417/klagomål/A 51644-2021 FSC-klagomål.docx", "A 51644-2021")</f>
        <v/>
      </c>
      <c r="W16">
        <f>HYPERLINK("https://klasma.github.io/Logging_2417/klagomålsmail/A 51644-2021 FSC-klagomål mail.docx", "A 51644-2021")</f>
        <v/>
      </c>
      <c r="X16">
        <f>HYPERLINK("https://klasma.github.io/Logging_2417/tillsyn/A 51644-2021 tillsynsbegäran.docx", "A 51644-2021")</f>
        <v/>
      </c>
      <c r="Y16">
        <f>HYPERLINK("https://klasma.github.io/Logging_2417/tillsynsmail/A 51644-2021 tillsynsbegäran mail.docx", "A 51644-2021")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45627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</v>
      </c>
      <c r="C18" s="1" t="n">
        <v>45627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47450-2024</t>
        </is>
      </c>
      <c r="B19" s="1" t="n">
        <v>45587</v>
      </c>
      <c r="C19" s="1" t="n">
        <v>45627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4.5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Orange taggsvamp
Dropptaggsvamp</t>
        </is>
      </c>
      <c r="S19">
        <f>HYPERLINK("https://klasma.github.io/Logging_2417/artfynd/A 47450-2024 artfynd.xlsx", "A 47450-2024")</f>
        <v/>
      </c>
      <c r="T19">
        <f>HYPERLINK("https://klasma.github.io/Logging_2417/kartor/A 47450-2024 karta.png", "A 47450-2024")</f>
        <v/>
      </c>
      <c r="V19">
        <f>HYPERLINK("https://klasma.github.io/Logging_2417/klagomål/A 47450-2024 FSC-klagomål.docx", "A 47450-2024")</f>
        <v/>
      </c>
      <c r="W19">
        <f>HYPERLINK("https://klasma.github.io/Logging_2417/klagomålsmail/A 47450-2024 FSC-klagomål mail.docx", "A 47450-2024")</f>
        <v/>
      </c>
      <c r="X19">
        <f>HYPERLINK("https://klasma.github.io/Logging_2417/tillsyn/A 47450-2024 tillsynsbegäran.docx", "A 47450-2024")</f>
        <v/>
      </c>
      <c r="Y19">
        <f>HYPERLINK("https://klasma.github.io/Logging_2417/tillsynsmail/A 47450-2024 tillsynsbegäran mail.docx", "A 47450-2024")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45627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45627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45627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45627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45627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45627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45627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45627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45627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45627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45627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45627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45627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45627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45627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45627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45627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45627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45627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45627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45627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45627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45627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45627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45627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45627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45627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45627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45627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45627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45627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45627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45627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45627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45627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45627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45627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45627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45627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45627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45627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45627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45627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45627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45627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45627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45627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45627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45627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45627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45627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45627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45627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45627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45627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45627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45627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45627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45627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45627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45627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45627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45627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45627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45627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45627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45627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45627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45627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45627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45627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45627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45627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45627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45627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45627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45627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45627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45627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45627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45627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45627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45627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45627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45627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45627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45627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45627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45627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45627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45627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45627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45627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45627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45627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45627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45627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45627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45627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45627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45627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45627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45627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45627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45627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45627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45627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45627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45627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45627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45627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45627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45627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45627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45627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45627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45627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45627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45627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45627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45627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45627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45627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45627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45627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45627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45627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45627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45627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45627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45627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45627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45627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45627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45627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45627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45627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45627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45627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45627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45627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45627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45627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45627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45627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45627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45627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45627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45627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45627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45627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45627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45627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45627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45627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45627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45627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45627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45627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45627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45627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45627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45627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45627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45627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45627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45627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45627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45627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45627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45627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45627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45627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45627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45627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45627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45627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45627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45627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45627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45627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45627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45627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45627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45627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45627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45627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45627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45627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45627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45627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45627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45627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45627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45627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45627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45627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45627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45627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45627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45627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45627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45627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45627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45627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45627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45627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45627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45627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45627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45627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45627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45627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45627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45627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45627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45627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45627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45627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45627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45627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45627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45627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45627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45627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45627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45627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45627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45627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45627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45627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45627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45627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45627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45627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45627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45627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45627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45627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45627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45627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45627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45627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45627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45627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45627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45627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45627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45627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45627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45627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45627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45627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45627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45627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45627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45627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45627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45627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45627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45627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45627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45627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45627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45627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45627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45627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45627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45627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45627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45627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45627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45627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45627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45627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45627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45627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45627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45627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45627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45627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45627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45627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45627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45627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45627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45627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45627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45627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45627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45627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45627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45627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45627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45627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45627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45627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45627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45627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45627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45627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45627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45627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45627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45627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45627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45627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45627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45627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45627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45627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45627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45627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45627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45627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45627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45627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45627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45627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45627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45627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45627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45627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45627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45627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45627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45627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45627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45627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45627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45627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45627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45627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45627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45627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45627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45627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45627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45627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45627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45627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45627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45627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45627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45627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45627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45627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45627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45627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45627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45627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45627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45627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45627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45627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45627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45627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45627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45627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45627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45627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45627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45627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45627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45627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45627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45627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45627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45627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45627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45627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45627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45627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45627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45627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45627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45627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45627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45627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45627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45627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45627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45627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45627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45627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45627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45627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45627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45627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45627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45627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45627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45627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45627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45627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45627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45627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45627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45627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45627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45627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45627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45627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45627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45627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45627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45627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45627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45627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45627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45627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45627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45627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45627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45627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45627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45627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45627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45627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45627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45627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45627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45627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45627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45627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45627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45627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45627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45627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45627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45627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45627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45627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45627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45627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45627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45627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45627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45627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45627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45627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45627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45627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45627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45627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45627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45627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45627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45627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45627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45627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45627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45627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45627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45627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45627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45627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45627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45627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45627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45627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45627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45627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45627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45627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45627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45627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45627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45627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45627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45627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45627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45627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45627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45627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45627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45627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45627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45627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45627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45627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45627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45627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45627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45627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45627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45627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45627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45627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45627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45627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45627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45627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45627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45627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45627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45627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45627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45627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45627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45627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45627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45627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45627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45627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45627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45627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45627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45627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45627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45627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45627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45627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45627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45627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45627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45627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45627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45627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45627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45627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45627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45627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45627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45627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45627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45627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45627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45627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45627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45627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45627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45627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45627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45627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45627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45627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45627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45627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45627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45627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45627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45627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45627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45627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45627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45627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45627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45627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45627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45627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45627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45627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45627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45627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45627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45627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45627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45627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45627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45627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45627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45627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45627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45627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45627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45627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45627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45627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45627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45627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45627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45627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45627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45627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45627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45627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45627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45627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45627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45627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45627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45627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45627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45627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45627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45627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45627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45627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45627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45627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45627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45627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45627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45627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45627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45627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45627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45627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45627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45627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45627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45627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45627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45627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45627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45627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45627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45627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45627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45627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45627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45627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45627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45627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45627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45627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45627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45627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45627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45627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45627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45627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45627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45627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45627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45627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45627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45627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45627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45627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45627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45627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45627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45627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45627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45627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45627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45627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45627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45627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45627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45627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45627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45627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45627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45627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45627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45627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45627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45627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45627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45627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45627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45627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45627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45627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45627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45627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45627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45627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45627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45627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45627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45627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45627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45627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45627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45627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45627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45627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45627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45627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45627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45627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45627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45627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45627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45627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45627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45627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45627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45627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45627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45627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45627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45627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45627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45627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45627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45627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45627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45627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45627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45627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45627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45627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45627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45627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45627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45627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45627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45627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45627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45627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45627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45627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45627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45627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45627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45627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45627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45627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45627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45627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45627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45627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45627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45627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45627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45627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45627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45627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45627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45627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45627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45627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45627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45627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45627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45627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45627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45627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45627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45627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45627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45627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45627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45627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45627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45627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45627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45627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45627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45627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45627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45627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45627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45627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45627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45627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45627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45627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45627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45627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45627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45627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45627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45627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45627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45627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45627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45627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45627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45627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45627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45627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45627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45627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45627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45627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45627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45627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45627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45627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45627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45627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45627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45627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45627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45627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45627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45627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45627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45627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45627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45627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45627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45627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45627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45627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45627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45627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45627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45627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45627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45627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45627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45627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45627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45627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45627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45627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45627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45627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45627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45627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45627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45627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45627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45627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45627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45627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45627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45627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45627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45627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45627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45627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45627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45627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45627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45627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45627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45627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45627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45627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45627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45627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45627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45627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45627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45627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45627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45627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45627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45627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45627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45627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45627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45627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45627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45627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45627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45627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45627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45627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45627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45627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45627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45627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45627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45627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45627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45627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45627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45627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45627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45627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45627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45627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45627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45627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45627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45627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45627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45627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45627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45627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45627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45627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45627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45627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45627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45627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45627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45627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45627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45627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45627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45627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50261-2024</t>
        </is>
      </c>
      <c r="B901" s="1" t="n">
        <v>45600</v>
      </c>
      <c r="C901" s="1" t="n">
        <v>45627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45627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45627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45627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45627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45627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51401-2024</t>
        </is>
      </c>
      <c r="B907" s="1" t="n">
        <v>45604</v>
      </c>
      <c r="C907" s="1" t="n">
        <v>45627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51407-2024</t>
        </is>
      </c>
      <c r="B908" s="1" t="n">
        <v>45604</v>
      </c>
      <c r="C908" s="1" t="n">
        <v>45627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51548-2024</t>
        </is>
      </c>
      <c r="B909" s="1" t="n">
        <v>45604</v>
      </c>
      <c r="C909" s="1" t="n">
        <v>45627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45627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45627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45627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45627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52538-2024</t>
        </is>
      </c>
      <c r="B914" s="1" t="n">
        <v>45609</v>
      </c>
      <c r="C914" s="1" t="n">
        <v>45627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52568-2024</t>
        </is>
      </c>
      <c r="B915" s="1" t="n">
        <v>45609</v>
      </c>
      <c r="C915" s="1" t="n">
        <v>45627</v>
      </c>
      <c r="D915" t="inlineStr">
        <is>
          <t>VÄSTERBOTTENS LÄN</t>
        </is>
      </c>
      <c r="E915" t="inlineStr">
        <is>
          <t>NORSJÖ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45627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45627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45627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45627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53442-2024</t>
        </is>
      </c>
      <c r="B920" s="1" t="n">
        <v>45614</v>
      </c>
      <c r="C920" s="1" t="n">
        <v>45627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53547-2024</t>
        </is>
      </c>
      <c r="B921" s="1" t="n">
        <v>45614</v>
      </c>
      <c r="C921" s="1" t="n">
        <v>45627</v>
      </c>
      <c r="D921" t="inlineStr">
        <is>
          <t>VÄSTERBOTTENS LÄN</t>
        </is>
      </c>
      <c r="E921" t="inlineStr">
        <is>
          <t>NORSJÖ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45627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53457-2024</t>
        </is>
      </c>
      <c r="B923" s="1" t="n">
        <v>45614</v>
      </c>
      <c r="C923" s="1" t="n">
        <v>45627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45627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45627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45627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54709-2024</t>
        </is>
      </c>
      <c r="B927" s="1" t="n">
        <v>45617</v>
      </c>
      <c r="C927" s="1" t="n">
        <v>45627</v>
      </c>
      <c r="D927" t="inlineStr">
        <is>
          <t>VÄSTERBOTTENS LÄN</t>
        </is>
      </c>
      <c r="E927" t="inlineStr">
        <is>
          <t>NORSJÖ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45627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54902-2024</t>
        </is>
      </c>
      <c r="B929" s="1" t="n">
        <v>45618</v>
      </c>
      <c r="C929" s="1" t="n">
        <v>45627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55140-2024</t>
        </is>
      </c>
      <c r="B930" s="1" t="n">
        <v>45618</v>
      </c>
      <c r="C930" s="1" t="n">
        <v>45627</v>
      </c>
      <c r="D930" t="inlineStr">
        <is>
          <t>VÄSTERBOTTENS LÄN</t>
        </is>
      </c>
      <c r="E930" t="inlineStr">
        <is>
          <t>NORSJÖ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55150-2024</t>
        </is>
      </c>
      <c r="B931" s="1" t="n">
        <v>45618</v>
      </c>
      <c r="C931" s="1" t="n">
        <v>45627</v>
      </c>
      <c r="D931" t="inlineStr">
        <is>
          <t>VÄSTERBOTTENS LÄN</t>
        </is>
      </c>
      <c r="E931" t="inlineStr">
        <is>
          <t>NORSJÖ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45627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55264-2024</t>
        </is>
      </c>
      <c r="B933" s="1" t="n">
        <v>45620</v>
      </c>
      <c r="C933" s="1" t="n">
        <v>45627</v>
      </c>
      <c r="D933" t="inlineStr">
        <is>
          <t>VÄSTERBOTTENS LÄN</t>
        </is>
      </c>
      <c r="E933" t="inlineStr">
        <is>
          <t>NORSJÖ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55213-2024</t>
        </is>
      </c>
      <c r="B934" s="1" t="n">
        <v>45620</v>
      </c>
      <c r="C934" s="1" t="n">
        <v>45627</v>
      </c>
      <c r="D934" t="inlineStr">
        <is>
          <t>VÄSTERBOTTENS LÄN</t>
        </is>
      </c>
      <c r="E934" t="inlineStr">
        <is>
          <t>NORSJÖ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45627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55133-2024</t>
        </is>
      </c>
      <c r="B936" s="1" t="n">
        <v>45621</v>
      </c>
      <c r="C936" s="1" t="n">
        <v>45627</v>
      </c>
      <c r="D936" t="inlineStr">
        <is>
          <t>VÄSTERBOTTENS LÄN</t>
        </is>
      </c>
      <c r="E936" t="inlineStr">
        <is>
          <t>NORSJÖ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45627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55310-2024</t>
        </is>
      </c>
      <c r="B938" s="1" t="n">
        <v>45621</v>
      </c>
      <c r="C938" s="1" t="n">
        <v>45627</v>
      </c>
      <c r="D938" t="inlineStr">
        <is>
          <t>VÄSTERBOTTENS LÄN</t>
        </is>
      </c>
      <c r="E938" t="inlineStr">
        <is>
          <t>NORSJÖ</t>
        </is>
      </c>
      <c r="F938" t="inlineStr">
        <is>
          <t>Sveaskog</t>
        </is>
      </c>
      <c r="G938" t="n">
        <v>12.3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55405-2024</t>
        </is>
      </c>
      <c r="B939" s="1" t="n">
        <v>45621</v>
      </c>
      <c r="C939" s="1" t="n">
        <v>45627</v>
      </c>
      <c r="D939" t="inlineStr">
        <is>
          <t>VÄSTERBOTTENS LÄN</t>
        </is>
      </c>
      <c r="E939" t="inlineStr">
        <is>
          <t>NORSJÖ</t>
        </is>
      </c>
      <c r="G939" t="n">
        <v>12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45627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45627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55929-2024</t>
        </is>
      </c>
      <c r="B942" s="1" t="n">
        <v>45623</v>
      </c>
      <c r="C942" s="1" t="n">
        <v>45627</v>
      </c>
      <c r="D942" t="inlineStr">
        <is>
          <t>VÄSTERBOTTENS LÄN</t>
        </is>
      </c>
      <c r="E942" t="inlineStr">
        <is>
          <t>NORSJÖ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55919-2024</t>
        </is>
      </c>
      <c r="B943" s="1" t="n">
        <v>45623</v>
      </c>
      <c r="C943" s="1" t="n">
        <v>45627</v>
      </c>
      <c r="D943" t="inlineStr">
        <is>
          <t>VÄSTERBOTTENS LÄN</t>
        </is>
      </c>
      <c r="E943" t="inlineStr">
        <is>
          <t>NORSJÖ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55936-2024</t>
        </is>
      </c>
      <c r="B944" s="1" t="n">
        <v>45623</v>
      </c>
      <c r="C944" s="1" t="n">
        <v>45627</v>
      </c>
      <c r="D944" t="inlineStr">
        <is>
          <t>VÄSTERBOTTENS LÄN</t>
        </is>
      </c>
      <c r="E944" t="inlineStr">
        <is>
          <t>NORSJÖ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45627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55931-2024</t>
        </is>
      </c>
      <c r="B946" s="1" t="n">
        <v>45623</v>
      </c>
      <c r="C946" s="1" t="n">
        <v>45627</v>
      </c>
      <c r="D946" t="inlineStr">
        <is>
          <t>VÄSTERBOTTENS LÄN</t>
        </is>
      </c>
      <c r="E946" t="inlineStr">
        <is>
          <t>NORSJÖ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56195-2024</t>
        </is>
      </c>
      <c r="B947" s="1" t="n">
        <v>45623</v>
      </c>
      <c r="C947" s="1" t="n">
        <v>45627</v>
      </c>
      <c r="D947" t="inlineStr">
        <is>
          <t>VÄSTERBOTTENS LÄN</t>
        </is>
      </c>
      <c r="E947" t="inlineStr">
        <is>
          <t>NORSJÖ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55951-2024</t>
        </is>
      </c>
      <c r="B948" s="1" t="n">
        <v>45623</v>
      </c>
      <c r="C948" s="1" t="n">
        <v>45627</v>
      </c>
      <c r="D948" t="inlineStr">
        <is>
          <t>VÄSTERBOTTENS LÄN</t>
        </is>
      </c>
      <c r="E948" t="inlineStr">
        <is>
          <t>NORSJÖ</t>
        </is>
      </c>
      <c r="G948" t="n">
        <v>11.4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56233-2024</t>
        </is>
      </c>
      <c r="B949" s="1" t="n">
        <v>45624</v>
      </c>
      <c r="C949" s="1" t="n">
        <v>45627</v>
      </c>
      <c r="D949" t="inlineStr">
        <is>
          <t>VÄSTERBOTTENS LÄN</t>
        </is>
      </c>
      <c r="E949" t="inlineStr">
        <is>
          <t>NORSJÖ</t>
        </is>
      </c>
      <c r="F949" t="inlineStr">
        <is>
          <t>Sveaskog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45627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56488-2024</t>
        </is>
      </c>
      <c r="B951" s="1" t="n">
        <v>45625</v>
      </c>
      <c r="C951" s="1" t="n">
        <v>45627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56498-2024</t>
        </is>
      </c>
      <c r="B952" s="1" t="n">
        <v>45625</v>
      </c>
      <c r="C952" s="1" t="n">
        <v>45627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2024-12-01T15:37:30Z</dcterms:created>
  <dcterms:modified xmlns:dcterms="http://purl.org/dc/terms/" xmlns:xsi="http://www.w3.org/2001/XMLSchema-instance" xsi:type="dcterms:W3CDTF">2024-12-01T15:37:30Z</dcterms:modified>
</cp:coreProperties>
</file>