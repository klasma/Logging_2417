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45710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45710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45710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45710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45710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45710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45710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45710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45710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45710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45710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45710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45710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45710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45710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45710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45710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45710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45710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45710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45710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45710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45710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45710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45710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19726-2023</t>
        </is>
      </c>
      <c r="B27" s="1" t="n">
        <v>45051</v>
      </c>
      <c r="C27" s="1" t="n">
        <v>45710</v>
      </c>
      <c r="D27" t="inlineStr">
        <is>
          <t>VÄSTERBOTTENS LÄN</t>
        </is>
      </c>
      <c r="E27" t="inlineStr">
        <is>
          <t>NORSJÖ</t>
        </is>
      </c>
      <c r="G27" t="n">
        <v>14.4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Tallbit
Talltita</t>
        </is>
      </c>
      <c r="S27">
        <f>HYPERLINK("https://klasma.github.io/Logging_2417/artfynd/A 19726-2023 artfynd.xlsx", "A 19726-2023")</f>
        <v/>
      </c>
      <c r="T27">
        <f>HYPERLINK("https://klasma.github.io/Logging_2417/kartor/A 19726-2023 karta.png", "A 19726-2023")</f>
        <v/>
      </c>
      <c r="V27">
        <f>HYPERLINK("https://klasma.github.io/Logging_2417/klagomål/A 19726-2023 FSC-klagomål.docx", "A 19726-2023")</f>
        <v/>
      </c>
      <c r="W27">
        <f>HYPERLINK("https://klasma.github.io/Logging_2417/klagomålsmail/A 19726-2023 FSC-klagomål mail.docx", "A 19726-2023")</f>
        <v/>
      </c>
      <c r="X27">
        <f>HYPERLINK("https://klasma.github.io/Logging_2417/tillsyn/A 19726-2023 tillsynsbegäran.docx", "A 19726-2023")</f>
        <v/>
      </c>
      <c r="Y27">
        <f>HYPERLINK("https://klasma.github.io/Logging_2417/tillsynsmail/A 19726-2023 tillsynsbegäran mail.docx", "A 19726-2023")</f>
        <v/>
      </c>
      <c r="Z27">
        <f>HYPERLINK("https://klasma.github.io/Logging_2417/fåglar/A 19726-2023 prioriterade fågelarter.docx", "A 19726-2023")</f>
        <v/>
      </c>
    </row>
    <row r="28" ht="15" customHeight="1">
      <c r="A28" t="inlineStr">
        <is>
          <t>A 18555-2024</t>
        </is>
      </c>
      <c r="B28" s="1" t="n">
        <v>45425</v>
      </c>
      <c r="C28" s="1" t="n">
        <v>45710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HYPERLINK("https://klasma.github.io/Logging_2417/artfynd/A 18555-2024 artfynd.xlsx", "A 18555-2024")</f>
        <v/>
      </c>
      <c r="T28">
        <f>HYPERLINK("https://klasma.github.io/Logging_2417/kartor/A 18555-2024 karta.png", "A 18555-2024")</f>
        <v/>
      </c>
      <c r="V28">
        <f>HYPERLINK("https://klasma.github.io/Logging_2417/klagomål/A 18555-2024 FSC-klagomål.docx", "A 18555-2024")</f>
        <v/>
      </c>
      <c r="W28">
        <f>HYPERLINK("https://klasma.github.io/Logging_2417/klagomålsmail/A 18555-2024 FSC-klagomål mail.docx", "A 18555-2024")</f>
        <v/>
      </c>
      <c r="X28">
        <f>HYPERLINK("https://klasma.github.io/Logging_2417/tillsyn/A 18555-2024 tillsynsbegäran.docx", "A 18555-2024")</f>
        <v/>
      </c>
      <c r="Y28">
        <f>HYPERLINK("https://klasma.github.io/Logging_2417/tillsynsmail/A 18555-2024 tillsynsbegäran mail.docx", "A 18555-2024")</f>
        <v/>
      </c>
    </row>
    <row r="29" ht="15" customHeight="1">
      <c r="A29" t="inlineStr">
        <is>
          <t>A 21599-2024</t>
        </is>
      </c>
      <c r="B29" s="1" t="n">
        <v>45442</v>
      </c>
      <c r="C29" s="1" t="n">
        <v>45710</v>
      </c>
      <c r="D29" t="inlineStr">
        <is>
          <t>VÄSTERBOTTENS LÄN</t>
        </is>
      </c>
      <c r="E29" t="inlineStr">
        <is>
          <t>NORSJÖ</t>
        </is>
      </c>
      <c r="G29" t="n">
        <v>5.9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HYPERLINK("https://klasma.github.io/Logging_2417/artfynd/A 21599-2024 artfynd.xlsx", "A 21599-2024")</f>
        <v/>
      </c>
      <c r="T29">
        <f>HYPERLINK("https://klasma.github.io/Logging_2417/kartor/A 21599-2024 karta.png", "A 21599-2024")</f>
        <v/>
      </c>
      <c r="V29">
        <f>HYPERLINK("https://klasma.github.io/Logging_2417/klagomål/A 21599-2024 FSC-klagomål.docx", "A 21599-2024")</f>
        <v/>
      </c>
      <c r="W29">
        <f>HYPERLINK("https://klasma.github.io/Logging_2417/klagomålsmail/A 21599-2024 FSC-klagomål mail.docx", "A 21599-2024")</f>
        <v/>
      </c>
      <c r="X29">
        <f>HYPERLINK("https://klasma.github.io/Logging_2417/tillsyn/A 21599-2024 tillsynsbegäran.docx", "A 21599-2024")</f>
        <v/>
      </c>
      <c r="Y29">
        <f>HYPERLINK("https://klasma.github.io/Logging_2417/tillsynsmail/A 21599-2024 tillsynsbegäran mail.docx", "A 21599-2024")</f>
        <v/>
      </c>
    </row>
    <row r="30" ht="15" customHeight="1">
      <c r="A30" t="inlineStr">
        <is>
          <t>A 32618-2024</t>
        </is>
      </c>
      <c r="B30" s="1" t="n">
        <v>45513</v>
      </c>
      <c r="C30" s="1" t="n">
        <v>45710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HYPERLINK("https://klasma.github.io/Logging_2417/artfynd/A 32618-2024 artfynd.xlsx", "A 32618-2024")</f>
        <v/>
      </c>
      <c r="T30">
        <f>HYPERLINK("https://klasma.github.io/Logging_2417/kartor/A 32618-2024 karta.png", "A 32618-2024")</f>
        <v/>
      </c>
      <c r="V30">
        <f>HYPERLINK("https://klasma.github.io/Logging_2417/klagomål/A 32618-2024 FSC-klagomål.docx", "A 32618-2024")</f>
        <v/>
      </c>
      <c r="W30">
        <f>HYPERLINK("https://klasma.github.io/Logging_2417/klagomålsmail/A 32618-2024 FSC-klagomål mail.docx", "A 32618-2024")</f>
        <v/>
      </c>
      <c r="X30">
        <f>HYPERLINK("https://klasma.github.io/Logging_2417/tillsyn/A 32618-2024 tillsynsbegäran.docx", "A 32618-2024")</f>
        <v/>
      </c>
      <c r="Y30">
        <f>HYPERLINK("https://klasma.github.io/Logging_2417/tillsynsmail/A 32618-2024 tillsynsbegäran mail.docx", "A 32618-2024")</f>
        <v/>
      </c>
    </row>
    <row r="31" ht="15" customHeight="1">
      <c r="A31" t="inlineStr">
        <is>
          <t>A 35430-2024</t>
        </is>
      </c>
      <c r="B31" s="1" t="n">
        <v>45531</v>
      </c>
      <c r="C31" s="1" t="n">
        <v>45710</v>
      </c>
      <c r="D31" t="inlineStr">
        <is>
          <t>VÄSTERBOTTENS LÄN</t>
        </is>
      </c>
      <c r="E31" t="inlineStr">
        <is>
          <t>NORSJÖ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HYPERLINK("https://klasma.github.io/Logging_2417/artfynd/A 35430-2024 artfynd.xlsx", "A 35430-2024")</f>
        <v/>
      </c>
      <c r="T31">
        <f>HYPERLINK("https://klasma.github.io/Logging_2417/kartor/A 35430-2024 karta.png", "A 35430-2024")</f>
        <v/>
      </c>
      <c r="V31">
        <f>HYPERLINK("https://klasma.github.io/Logging_2417/klagomål/A 35430-2024 FSC-klagomål.docx", "A 35430-2024")</f>
        <v/>
      </c>
      <c r="W31">
        <f>HYPERLINK("https://klasma.github.io/Logging_2417/klagomålsmail/A 35430-2024 FSC-klagomål mail.docx", "A 35430-2024")</f>
        <v/>
      </c>
      <c r="X31">
        <f>HYPERLINK("https://klasma.github.io/Logging_2417/tillsyn/A 35430-2024 tillsynsbegäran.docx", "A 35430-2024")</f>
        <v/>
      </c>
      <c r="Y31">
        <f>HYPERLINK("https://klasma.github.io/Logging_2417/tillsynsmail/A 35430-2024 tillsynsbegäran mail.docx", "A 35430-2024")</f>
        <v/>
      </c>
      <c r="Z31">
        <f>HYPERLINK("https://klasma.github.io/Logging_2417/fåglar/A 35430-2024 prioriterade fågelarter.docx", "A 35430-2024")</f>
        <v/>
      </c>
    </row>
    <row r="32" ht="15" customHeight="1">
      <c r="A32" t="inlineStr">
        <is>
          <t>A 38052-2024</t>
        </is>
      </c>
      <c r="B32" s="1" t="n">
        <v>45544</v>
      </c>
      <c r="C32" s="1" t="n">
        <v>45710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Fläcknycklar</t>
        </is>
      </c>
      <c r="S32">
        <f>HYPERLINK("https://klasma.github.io/Logging_2417/artfynd/A 38052-2024 artfynd.xlsx", "A 38052-2024")</f>
        <v/>
      </c>
      <c r="T32">
        <f>HYPERLINK("https://klasma.github.io/Logging_2417/kartor/A 38052-2024 karta.png", "A 38052-2024")</f>
        <v/>
      </c>
      <c r="V32">
        <f>HYPERLINK("https://klasma.github.io/Logging_2417/klagomål/A 38052-2024 FSC-klagomål.docx", "A 38052-2024")</f>
        <v/>
      </c>
      <c r="W32">
        <f>HYPERLINK("https://klasma.github.io/Logging_2417/klagomålsmail/A 38052-2024 FSC-klagomål mail.docx", "A 38052-2024")</f>
        <v/>
      </c>
      <c r="X32">
        <f>HYPERLINK("https://klasma.github.io/Logging_2417/tillsyn/A 38052-2024 tillsynsbegäran.docx", "A 38052-2024")</f>
        <v/>
      </c>
      <c r="Y32">
        <f>HYPERLINK("https://klasma.github.io/Logging_2417/tillsynsmail/A 38052-2024 tillsynsbegäran mail.docx", "A 38052-2024")</f>
        <v/>
      </c>
    </row>
    <row r="33" ht="15" customHeight="1">
      <c r="A33" t="inlineStr">
        <is>
          <t>A 20337-2019</t>
        </is>
      </c>
      <c r="B33" s="1" t="n">
        <v>43570</v>
      </c>
      <c r="C33" s="1" t="n">
        <v>45710</v>
      </c>
      <c r="D33" t="inlineStr">
        <is>
          <t>VÄSTERBOTTENS LÄN</t>
        </is>
      </c>
      <c r="E33" t="inlineStr">
        <is>
          <t>NORSJÖ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HYPERLINK("https://klasma.github.io/Logging_2417/artfynd/A 20337-2019 artfynd.xlsx", "A 20337-2019")</f>
        <v/>
      </c>
      <c r="T33">
        <f>HYPERLINK("https://klasma.github.io/Logging_2417/kartor/A 20337-2019 karta.png", "A 20337-2019")</f>
        <v/>
      </c>
      <c r="V33">
        <f>HYPERLINK("https://klasma.github.io/Logging_2417/klagomål/A 20337-2019 FSC-klagomål.docx", "A 20337-2019")</f>
        <v/>
      </c>
      <c r="W33">
        <f>HYPERLINK("https://klasma.github.io/Logging_2417/klagomålsmail/A 20337-2019 FSC-klagomål mail.docx", "A 20337-2019")</f>
        <v/>
      </c>
      <c r="X33">
        <f>HYPERLINK("https://klasma.github.io/Logging_2417/tillsyn/A 20337-2019 tillsynsbegäran.docx", "A 20337-2019")</f>
        <v/>
      </c>
      <c r="Y33">
        <f>HYPERLINK("https://klasma.github.io/Logging_2417/tillsynsmail/A 20337-2019 tillsynsbegäran mail.docx", "A 20337-2019")</f>
        <v/>
      </c>
    </row>
    <row r="34" ht="15" customHeight="1">
      <c r="A34" t="inlineStr">
        <is>
          <t>A 61542-2019</t>
        </is>
      </c>
      <c r="B34" s="1" t="n">
        <v>43784</v>
      </c>
      <c r="C34" s="1" t="n">
        <v>45710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31.1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61542-2019 artfynd.xlsx", "A 61542-2019")</f>
        <v/>
      </c>
      <c r="T34">
        <f>HYPERLINK("https://klasma.github.io/Logging_2417/kartor/A 61542-2019 karta.png", "A 61542-2019")</f>
        <v/>
      </c>
      <c r="V34">
        <f>HYPERLINK("https://klasma.github.io/Logging_2417/klagomål/A 61542-2019 FSC-klagomål.docx", "A 61542-2019")</f>
        <v/>
      </c>
      <c r="W34">
        <f>HYPERLINK("https://klasma.github.io/Logging_2417/klagomålsmail/A 61542-2019 FSC-klagomål mail.docx", "A 61542-2019")</f>
        <v/>
      </c>
      <c r="X34">
        <f>HYPERLINK("https://klasma.github.io/Logging_2417/tillsyn/A 61542-2019 tillsynsbegäran.docx", "A 61542-2019")</f>
        <v/>
      </c>
      <c r="Y34">
        <f>HYPERLINK("https://klasma.github.io/Logging_2417/tillsynsmail/A 61542-2019 tillsynsbegäran mail.docx", "A 61542-2019")</f>
        <v/>
      </c>
    </row>
    <row r="35" ht="15" customHeight="1">
      <c r="A35" t="inlineStr">
        <is>
          <t>A 59120-2020</t>
        </is>
      </c>
      <c r="B35" s="1" t="n">
        <v>44147</v>
      </c>
      <c r="C35" s="1" t="n">
        <v>45710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HYPERLINK("https://klasma.github.io/Logging_2417/artfynd/A 59120-2020 artfynd.xlsx", "A 59120-2020")</f>
        <v/>
      </c>
      <c r="T35">
        <f>HYPERLINK("https://klasma.github.io/Logging_2417/kartor/A 59120-2020 karta.png", "A 59120-2020")</f>
        <v/>
      </c>
      <c r="V35">
        <f>HYPERLINK("https://klasma.github.io/Logging_2417/klagomål/A 59120-2020 FSC-klagomål.docx", "A 59120-2020")</f>
        <v/>
      </c>
      <c r="W35">
        <f>HYPERLINK("https://klasma.github.io/Logging_2417/klagomålsmail/A 59120-2020 FSC-klagomål mail.docx", "A 59120-2020")</f>
        <v/>
      </c>
      <c r="X35">
        <f>HYPERLINK("https://klasma.github.io/Logging_2417/tillsyn/A 59120-2020 tillsynsbegäran.docx", "A 59120-2020")</f>
        <v/>
      </c>
      <c r="Y35">
        <f>HYPERLINK("https://klasma.github.io/Logging_2417/tillsynsmail/A 59120-2020 tillsynsbegäran mail.docx", "A 59120-2020")</f>
        <v/>
      </c>
    </row>
    <row r="36" ht="15" customHeight="1">
      <c r="A36" t="inlineStr">
        <is>
          <t>A 62699-2020</t>
        </is>
      </c>
      <c r="B36" s="1" t="n">
        <v>44161</v>
      </c>
      <c r="C36" s="1" t="n">
        <v>45710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HYPERLINK("https://klasma.github.io/Logging_2417/artfynd/A 62699-2020 artfynd.xlsx", "A 62699-2020")</f>
        <v/>
      </c>
      <c r="T36">
        <f>HYPERLINK("https://klasma.github.io/Logging_2417/kartor/A 62699-2020 karta.png", "A 62699-2020")</f>
        <v/>
      </c>
      <c r="V36">
        <f>HYPERLINK("https://klasma.github.io/Logging_2417/klagomål/A 62699-2020 FSC-klagomål.docx", "A 62699-2020")</f>
        <v/>
      </c>
      <c r="W36">
        <f>HYPERLINK("https://klasma.github.io/Logging_2417/klagomålsmail/A 62699-2020 FSC-klagomål mail.docx", "A 62699-2020")</f>
        <v/>
      </c>
      <c r="X36">
        <f>HYPERLINK("https://klasma.github.io/Logging_2417/tillsyn/A 62699-2020 tillsynsbegäran.docx", "A 62699-2020")</f>
        <v/>
      </c>
      <c r="Y36">
        <f>HYPERLINK("https://klasma.github.io/Logging_2417/tillsynsmail/A 62699-2020 tillsynsbegäran mail.docx", "A 62699-2020")</f>
        <v/>
      </c>
    </row>
    <row r="37" ht="15" customHeight="1">
      <c r="A37" t="inlineStr">
        <is>
          <t>A 51640-2021</t>
        </is>
      </c>
      <c r="B37" s="1" t="n">
        <v>44462</v>
      </c>
      <c r="C37" s="1" t="n">
        <v>45710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51640-2021 artfynd.xlsx", "A 51640-2021")</f>
        <v/>
      </c>
      <c r="T37">
        <f>HYPERLINK("https://klasma.github.io/Logging_2417/kartor/A 51640-2021 karta.png", "A 51640-2021")</f>
        <v/>
      </c>
      <c r="V37">
        <f>HYPERLINK("https://klasma.github.io/Logging_2417/klagomål/A 51640-2021 FSC-klagomål.docx", "A 51640-2021")</f>
        <v/>
      </c>
      <c r="W37">
        <f>HYPERLINK("https://klasma.github.io/Logging_2417/klagomålsmail/A 51640-2021 FSC-klagomål mail.docx", "A 51640-2021")</f>
        <v/>
      </c>
      <c r="X37">
        <f>HYPERLINK("https://klasma.github.io/Logging_2417/tillsyn/A 51640-2021 tillsynsbegäran.docx", "A 51640-2021")</f>
        <v/>
      </c>
      <c r="Y37">
        <f>HYPERLINK("https://klasma.github.io/Logging_2417/tillsynsmail/A 51640-2021 tillsynsbegäran mail.docx", "A 51640-2021")</f>
        <v/>
      </c>
    </row>
    <row r="38" ht="15" customHeight="1">
      <c r="A38" t="inlineStr">
        <is>
          <t>A 50521-2023</t>
        </is>
      </c>
      <c r="B38" s="1" t="n">
        <v>45217</v>
      </c>
      <c r="C38" s="1" t="n">
        <v>45710</v>
      </c>
      <c r="D38" t="inlineStr">
        <is>
          <t>VÄSTERBOTTENS LÄN</t>
        </is>
      </c>
      <c r="E38" t="inlineStr">
        <is>
          <t>NORSJÖ</t>
        </is>
      </c>
      <c r="F38" t="inlineStr">
        <is>
          <t>SCA</t>
        </is>
      </c>
      <c r="G38" t="n">
        <v>11.9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50521-2023 artfynd.xlsx", "A 50521-2023")</f>
        <v/>
      </c>
      <c r="T38">
        <f>HYPERLINK("https://klasma.github.io/Logging_2417/kartor/A 50521-2023 karta.png", "A 50521-2023")</f>
        <v/>
      </c>
      <c r="V38">
        <f>HYPERLINK("https://klasma.github.io/Logging_2417/klagomål/A 50521-2023 FSC-klagomål.docx", "A 50521-2023")</f>
        <v/>
      </c>
      <c r="W38">
        <f>HYPERLINK("https://klasma.github.io/Logging_2417/klagomålsmail/A 50521-2023 FSC-klagomål mail.docx", "A 50521-2023")</f>
        <v/>
      </c>
      <c r="X38">
        <f>HYPERLINK("https://klasma.github.io/Logging_2417/tillsyn/A 50521-2023 tillsynsbegäran.docx", "A 50521-2023")</f>
        <v/>
      </c>
      <c r="Y38">
        <f>HYPERLINK("https://klasma.github.io/Logging_2417/tillsynsmail/A 50521-2023 tillsynsbegäran mail.docx", "A 50521-2023")</f>
        <v/>
      </c>
    </row>
    <row r="39" ht="15" customHeight="1">
      <c r="A39" t="inlineStr">
        <is>
          <t>A 8159-2024</t>
        </is>
      </c>
      <c r="B39" s="1" t="n">
        <v>45351</v>
      </c>
      <c r="C39" s="1" t="n">
        <v>45710</v>
      </c>
      <c r="D39" t="inlineStr">
        <is>
          <t>VÄSTERBOTTENS LÄN</t>
        </is>
      </c>
      <c r="E39" t="inlineStr">
        <is>
          <t>NORSJÖ</t>
        </is>
      </c>
      <c r="G39" t="n">
        <v>20.4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8159-2024 artfynd.xlsx", "A 8159-2024")</f>
        <v/>
      </c>
      <c r="T39">
        <f>HYPERLINK("https://klasma.github.io/Logging_2417/kartor/A 8159-2024 karta.png", "A 8159-2024")</f>
        <v/>
      </c>
      <c r="V39">
        <f>HYPERLINK("https://klasma.github.io/Logging_2417/klagomål/A 8159-2024 FSC-klagomål.docx", "A 8159-2024")</f>
        <v/>
      </c>
      <c r="W39">
        <f>HYPERLINK("https://klasma.github.io/Logging_2417/klagomålsmail/A 8159-2024 FSC-klagomål mail.docx", "A 8159-2024")</f>
        <v/>
      </c>
      <c r="X39">
        <f>HYPERLINK("https://klasma.github.io/Logging_2417/tillsyn/A 8159-2024 tillsynsbegäran.docx", "A 8159-2024")</f>
        <v/>
      </c>
      <c r="Y39">
        <f>HYPERLINK("https://klasma.github.io/Logging_2417/tillsynsmail/A 8159-2024 tillsynsbegäran mail.docx", "A 8159-2024")</f>
        <v/>
      </c>
    </row>
    <row r="40" ht="15" customHeight="1">
      <c r="A40" t="inlineStr">
        <is>
          <t>A 33763-2024</t>
        </is>
      </c>
      <c r="B40" s="1" t="n">
        <v>45520</v>
      </c>
      <c r="C40" s="1" t="n">
        <v>45710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HYPERLINK("https://klasma.github.io/Logging_2417/artfynd/A 33763-2024 artfynd.xlsx", "A 33763-2024")</f>
        <v/>
      </c>
      <c r="T40">
        <f>HYPERLINK("https://klasma.github.io/Logging_2417/kartor/A 33763-2024 karta.png", "A 33763-2024")</f>
        <v/>
      </c>
      <c r="V40">
        <f>HYPERLINK("https://klasma.github.io/Logging_2417/klagomål/A 33763-2024 FSC-klagomål.docx", "A 33763-2024")</f>
        <v/>
      </c>
      <c r="W40">
        <f>HYPERLINK("https://klasma.github.io/Logging_2417/klagomålsmail/A 33763-2024 FSC-klagomål mail.docx", "A 33763-2024")</f>
        <v/>
      </c>
      <c r="X40">
        <f>HYPERLINK("https://klasma.github.io/Logging_2417/tillsyn/A 33763-2024 tillsynsbegäran.docx", "A 33763-2024")</f>
        <v/>
      </c>
      <c r="Y40">
        <f>HYPERLINK("https://klasma.github.io/Logging_2417/tillsynsmail/A 33763-2024 tillsynsbegäran mail.docx", "A 33763-2024")</f>
        <v/>
      </c>
    </row>
    <row r="41" ht="15" customHeight="1">
      <c r="A41" t="inlineStr">
        <is>
          <t>A 45438-2024</t>
        </is>
      </c>
      <c r="B41" s="1" t="n">
        <v>45576</v>
      </c>
      <c r="C41" s="1" t="n">
        <v>45710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45438-2024 artfynd.xlsx", "A 45438-2024")</f>
        <v/>
      </c>
      <c r="T41">
        <f>HYPERLINK("https://klasma.github.io/Logging_2417/kartor/A 45438-2024 karta.png", "A 45438-2024")</f>
        <v/>
      </c>
      <c r="V41">
        <f>HYPERLINK("https://klasma.github.io/Logging_2417/klagomål/A 45438-2024 FSC-klagomål.docx", "A 45438-2024")</f>
        <v/>
      </c>
      <c r="W41">
        <f>HYPERLINK("https://klasma.github.io/Logging_2417/klagomålsmail/A 45438-2024 FSC-klagomål mail.docx", "A 45438-2024")</f>
        <v/>
      </c>
      <c r="X41">
        <f>HYPERLINK("https://klasma.github.io/Logging_2417/tillsyn/A 45438-2024 tillsynsbegäran.docx", "A 45438-2024")</f>
        <v/>
      </c>
      <c r="Y41">
        <f>HYPERLINK("https://klasma.github.io/Logging_2417/tillsynsmail/A 45438-2024 tillsynsbegäran mail.docx", "A 45438-2024")</f>
        <v/>
      </c>
    </row>
    <row r="42" ht="15" customHeight="1">
      <c r="A42" t="inlineStr">
        <is>
          <t>A 46666-2024</t>
        </is>
      </c>
      <c r="B42" s="1" t="n">
        <v>45583</v>
      </c>
      <c r="C42" s="1" t="n">
        <v>45710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6.7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46666-2024 artfynd.xlsx", "A 46666-2024")</f>
        <v/>
      </c>
      <c r="T42">
        <f>HYPERLINK("https://klasma.github.io/Logging_2417/kartor/A 46666-2024 karta.png", "A 46666-2024")</f>
        <v/>
      </c>
      <c r="V42">
        <f>HYPERLINK("https://klasma.github.io/Logging_2417/klagomål/A 46666-2024 FSC-klagomål.docx", "A 46666-2024")</f>
        <v/>
      </c>
      <c r="W42">
        <f>HYPERLINK("https://klasma.github.io/Logging_2417/klagomålsmail/A 46666-2024 FSC-klagomål mail.docx", "A 46666-2024")</f>
        <v/>
      </c>
      <c r="X42">
        <f>HYPERLINK("https://klasma.github.io/Logging_2417/tillsyn/A 46666-2024 tillsynsbegäran.docx", "A 46666-2024")</f>
        <v/>
      </c>
      <c r="Y42">
        <f>HYPERLINK("https://klasma.github.io/Logging_2417/tillsynsmail/A 46666-2024 tillsynsbegäran mail.docx", "A 46666-2024")</f>
        <v/>
      </c>
    </row>
    <row r="43" ht="15" customHeight="1">
      <c r="A43" t="inlineStr">
        <is>
          <t>A 55328-2024</t>
        </is>
      </c>
      <c r="B43" s="1" t="n">
        <v>45621</v>
      </c>
      <c r="C43" s="1" t="n">
        <v>45710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55328-2024 artfynd.xlsx", "A 55328-2024")</f>
        <v/>
      </c>
      <c r="T43">
        <f>HYPERLINK("https://klasma.github.io/Logging_2417/kartor/A 55328-2024 karta.png", "A 55328-2024")</f>
        <v/>
      </c>
      <c r="V43">
        <f>HYPERLINK("https://klasma.github.io/Logging_2417/klagomål/A 55328-2024 FSC-klagomål.docx", "A 55328-2024")</f>
        <v/>
      </c>
      <c r="W43">
        <f>HYPERLINK("https://klasma.github.io/Logging_2417/klagomålsmail/A 55328-2024 FSC-klagomål mail.docx", "A 55328-2024")</f>
        <v/>
      </c>
      <c r="X43">
        <f>HYPERLINK("https://klasma.github.io/Logging_2417/tillsyn/A 55328-2024 tillsynsbegäran.docx", "A 55328-2024")</f>
        <v/>
      </c>
      <c r="Y43">
        <f>HYPERLINK("https://klasma.github.io/Logging_2417/tillsynsmail/A 55328-2024 tillsynsbegäran mail.docx", "A 55328-2024")</f>
        <v/>
      </c>
    </row>
    <row r="44" ht="15" customHeight="1">
      <c r="A44" t="inlineStr">
        <is>
          <t>A 55389-2024</t>
        </is>
      </c>
      <c r="B44" s="1" t="n">
        <v>45622</v>
      </c>
      <c r="C44" s="1" t="n">
        <v>45710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14.6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55389-2024 artfynd.xlsx", "A 55389-2024")</f>
        <v/>
      </c>
      <c r="T44">
        <f>HYPERLINK("https://klasma.github.io/Logging_2417/kartor/A 55389-2024 karta.png", "A 55389-2024")</f>
        <v/>
      </c>
      <c r="V44">
        <f>HYPERLINK("https://klasma.github.io/Logging_2417/klagomål/A 55389-2024 FSC-klagomål.docx", "A 55389-2024")</f>
        <v/>
      </c>
      <c r="W44">
        <f>HYPERLINK("https://klasma.github.io/Logging_2417/klagomålsmail/A 55389-2024 FSC-klagomål mail.docx", "A 55389-2024")</f>
        <v/>
      </c>
      <c r="X44">
        <f>HYPERLINK("https://klasma.github.io/Logging_2417/tillsyn/A 55389-2024 tillsynsbegäran.docx", "A 55389-2024")</f>
        <v/>
      </c>
      <c r="Y44">
        <f>HYPERLINK("https://klasma.github.io/Logging_2417/tillsynsmail/A 55389-2024 tillsynsbegäran mail.docx", "A 55389-2024")</f>
        <v/>
      </c>
    </row>
    <row r="45" ht="15" customHeight="1">
      <c r="A45" t="inlineStr">
        <is>
          <t>A 59767-2024</t>
        </is>
      </c>
      <c r="B45" s="1" t="n">
        <v>45639</v>
      </c>
      <c r="C45" s="1" t="n">
        <v>45710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59767-2024 artfynd.xlsx", "A 59767-2024")</f>
        <v/>
      </c>
      <c r="T45">
        <f>HYPERLINK("https://klasma.github.io/Logging_2417/kartor/A 59767-2024 karta.png", "A 59767-2024")</f>
        <v/>
      </c>
      <c r="V45">
        <f>HYPERLINK("https://klasma.github.io/Logging_2417/klagomål/A 59767-2024 FSC-klagomål.docx", "A 59767-2024")</f>
        <v/>
      </c>
      <c r="W45">
        <f>HYPERLINK("https://klasma.github.io/Logging_2417/klagomålsmail/A 59767-2024 FSC-klagomål mail.docx", "A 59767-2024")</f>
        <v/>
      </c>
      <c r="X45">
        <f>HYPERLINK("https://klasma.github.io/Logging_2417/tillsyn/A 59767-2024 tillsynsbegäran.docx", "A 59767-2024")</f>
        <v/>
      </c>
      <c r="Y45">
        <f>HYPERLINK("https://klasma.github.io/Logging_2417/tillsynsmail/A 59767-2024 tillsynsbegäran mail.docx", "A 59767-2024")</f>
        <v/>
      </c>
    </row>
    <row r="46" ht="15" customHeight="1">
      <c r="A46" t="inlineStr">
        <is>
          <t>A 18821-2019</t>
        </is>
      </c>
      <c r="B46" s="1" t="n">
        <v>43560</v>
      </c>
      <c r="C46" s="1" t="n">
        <v>45710</v>
      </c>
      <c r="D46" t="inlineStr">
        <is>
          <t>VÄSTERBOTTENS LÄN</t>
        </is>
      </c>
      <c r="E46" t="inlineStr">
        <is>
          <t>NORSJÖ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19007-2019</t>
        </is>
      </c>
      <c r="B47" s="1" t="n">
        <v>43563</v>
      </c>
      <c r="C47" s="1" t="n">
        <v>45710</v>
      </c>
      <c r="D47" t="inlineStr">
        <is>
          <t>VÄSTERBOTTENS LÄN</t>
        </is>
      </c>
      <c r="E47" t="inlineStr">
        <is>
          <t>NORSJÖ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20336-2019</t>
        </is>
      </c>
      <c r="B48" s="1" t="n">
        <v>43570</v>
      </c>
      <c r="C48" s="1" t="n">
        <v>45710</v>
      </c>
      <c r="D48" t="inlineStr">
        <is>
          <t>VÄSTERBOTTENS LÄN</t>
        </is>
      </c>
      <c r="E48" t="inlineStr">
        <is>
          <t>NORSJÖ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20431-2019</t>
        </is>
      </c>
      <c r="B49" s="1" t="n">
        <v>43571</v>
      </c>
      <c r="C49" s="1" t="n">
        <v>45710</v>
      </c>
      <c r="D49" t="inlineStr">
        <is>
          <t>VÄSTERBOTTENS LÄN</t>
        </is>
      </c>
      <c r="E49" t="inlineStr">
        <is>
          <t>NORSJÖ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21352-2019</t>
        </is>
      </c>
      <c r="B50" s="1" t="n">
        <v>43579</v>
      </c>
      <c r="C50" s="1" t="n">
        <v>45710</v>
      </c>
      <c r="D50" t="inlineStr">
        <is>
          <t>VÄSTERBOTTENS LÄN</t>
        </is>
      </c>
      <c r="E50" t="inlineStr">
        <is>
          <t>NORSJÖ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21832-2019</t>
        </is>
      </c>
      <c r="B51" s="1" t="n">
        <v>43581</v>
      </c>
      <c r="C51" s="1" t="n">
        <v>45710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26104-2019</t>
        </is>
      </c>
      <c r="B52" s="1" t="n">
        <v>43605</v>
      </c>
      <c r="C52" s="1" t="n">
        <v>45710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26523-2019</t>
        </is>
      </c>
      <c r="B53" s="1" t="n">
        <v>43612</v>
      </c>
      <c r="C53" s="1" t="n">
        <v>45710</v>
      </c>
      <c r="D53" t="inlineStr">
        <is>
          <t>VÄSTERBOTTENS LÄN</t>
        </is>
      </c>
      <c r="E53" t="inlineStr">
        <is>
          <t>NORSJÖ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26513-2019</t>
        </is>
      </c>
      <c r="B54" s="1" t="n">
        <v>43612</v>
      </c>
      <c r="C54" s="1" t="n">
        <v>45710</v>
      </c>
      <c r="D54" t="inlineStr">
        <is>
          <t>VÄSTERBOTTENS LÄN</t>
        </is>
      </c>
      <c r="E54" t="inlineStr">
        <is>
          <t>NORSJÖ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28300-2019</t>
        </is>
      </c>
      <c r="B55" s="1" t="n">
        <v>43623</v>
      </c>
      <c r="C55" s="1" t="n">
        <v>45710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28571-2019</t>
        </is>
      </c>
      <c r="B56" s="1" t="n">
        <v>43626</v>
      </c>
      <c r="C56" s="1" t="n">
        <v>45710</v>
      </c>
      <c r="D56" t="inlineStr">
        <is>
          <t>VÄSTERBOTTENS LÄN</t>
        </is>
      </c>
      <c r="E56" t="inlineStr">
        <is>
          <t>NORSJÖ</t>
        </is>
      </c>
      <c r="G56" t="n">
        <v>16.6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28573-2019</t>
        </is>
      </c>
      <c r="B57" s="1" t="n">
        <v>43626</v>
      </c>
      <c r="C57" s="1" t="n">
        <v>45710</v>
      </c>
      <c r="D57" t="inlineStr">
        <is>
          <t>VÄSTERBOTTENS LÄN</t>
        </is>
      </c>
      <c r="E57" t="inlineStr">
        <is>
          <t>NORSJÖ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32433-2019</t>
        </is>
      </c>
      <c r="B58" s="1" t="n">
        <v>43644</v>
      </c>
      <c r="C58" s="1" t="n">
        <v>45710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33372-2019</t>
        </is>
      </c>
      <c r="B59" s="1" t="n">
        <v>43644</v>
      </c>
      <c r="C59" s="1" t="n">
        <v>45710</v>
      </c>
      <c r="D59" t="inlineStr">
        <is>
          <t>VÄSTERBOTTENS LÄN</t>
        </is>
      </c>
      <c r="E59" t="inlineStr">
        <is>
          <t>NORSJÖ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34724-2019</t>
        </is>
      </c>
      <c r="B60" s="1" t="n">
        <v>43648</v>
      </c>
      <c r="C60" s="1" t="n">
        <v>45710</v>
      </c>
      <c r="D60" t="inlineStr">
        <is>
          <t>VÄSTERBOTTENS LÄN</t>
        </is>
      </c>
      <c r="E60" t="inlineStr">
        <is>
          <t>NORSJÖ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32977-2019</t>
        </is>
      </c>
      <c r="B61" s="1" t="n">
        <v>43648</v>
      </c>
      <c r="C61" s="1" t="n">
        <v>45710</v>
      </c>
      <c r="D61" t="inlineStr">
        <is>
          <t>VÄSTERBOTTENS LÄN</t>
        </is>
      </c>
      <c r="E61" t="inlineStr">
        <is>
          <t>NORSJÖ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33009-2019</t>
        </is>
      </c>
      <c r="B62" s="1" t="n">
        <v>43649</v>
      </c>
      <c r="C62" s="1" t="n">
        <v>45710</v>
      </c>
      <c r="D62" t="inlineStr">
        <is>
          <t>VÄSTERBOTTENS LÄN</t>
        </is>
      </c>
      <c r="E62" t="inlineStr">
        <is>
          <t>NORSJÖ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33484-2019</t>
        </is>
      </c>
      <c r="B63" s="1" t="n">
        <v>43650</v>
      </c>
      <c r="C63" s="1" t="n">
        <v>45710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33483-2019</t>
        </is>
      </c>
      <c r="B64" s="1" t="n">
        <v>43651</v>
      </c>
      <c r="C64" s="1" t="n">
        <v>45710</v>
      </c>
      <c r="D64" t="inlineStr">
        <is>
          <t>VÄSTERBOTTENS LÄN</t>
        </is>
      </c>
      <c r="E64" t="inlineStr">
        <is>
          <t>NORSJÖ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39100-2019</t>
        </is>
      </c>
      <c r="B65" s="1" t="n">
        <v>43689</v>
      </c>
      <c r="C65" s="1" t="n">
        <v>45710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39889-2019</t>
        </is>
      </c>
      <c r="B66" s="1" t="n">
        <v>43689</v>
      </c>
      <c r="C66" s="1" t="n">
        <v>45710</v>
      </c>
      <c r="D66" t="inlineStr">
        <is>
          <t>VÄSTERBOTTENS LÄN</t>
        </is>
      </c>
      <c r="E66" t="inlineStr">
        <is>
          <t>NORSJÖ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40612-2019</t>
        </is>
      </c>
      <c r="B67" s="1" t="n">
        <v>43696</v>
      </c>
      <c r="C67" s="1" t="n">
        <v>45710</v>
      </c>
      <c r="D67" t="inlineStr">
        <is>
          <t>VÄSTERBOTTENS LÄN</t>
        </is>
      </c>
      <c r="E67" t="inlineStr">
        <is>
          <t>NORSJÖ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40609-2019</t>
        </is>
      </c>
      <c r="B68" s="1" t="n">
        <v>43696</v>
      </c>
      <c r="C68" s="1" t="n">
        <v>45710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43469-2019</t>
        </is>
      </c>
      <c r="B69" s="1" t="n">
        <v>43703</v>
      </c>
      <c r="C69" s="1" t="n">
        <v>45710</v>
      </c>
      <c r="D69" t="inlineStr">
        <is>
          <t>VÄSTERBOTTENS LÄN</t>
        </is>
      </c>
      <c r="E69" t="inlineStr">
        <is>
          <t>NORSJÖ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50782-2019</t>
        </is>
      </c>
      <c r="B70" s="1" t="n">
        <v>43738</v>
      </c>
      <c r="C70" s="1" t="n">
        <v>45710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52767-2019</t>
        </is>
      </c>
      <c r="B71" s="1" t="n">
        <v>43739</v>
      </c>
      <c r="C71" s="1" t="n">
        <v>45710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53061-2019</t>
        </is>
      </c>
      <c r="B72" s="1" t="n">
        <v>43739</v>
      </c>
      <c r="C72" s="1" t="n">
        <v>45710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55507-2019</t>
        </is>
      </c>
      <c r="B73" s="1" t="n">
        <v>43755</v>
      </c>
      <c r="C73" s="1" t="n">
        <v>45710</v>
      </c>
      <c r="D73" t="inlineStr">
        <is>
          <t>VÄSTERBOTTENS LÄN</t>
        </is>
      </c>
      <c r="E73" t="inlineStr">
        <is>
          <t>NORSJÖ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57652-2019</t>
        </is>
      </c>
      <c r="B74" s="1" t="n">
        <v>43761</v>
      </c>
      <c r="C74" s="1" t="n">
        <v>45710</v>
      </c>
      <c r="D74" t="inlineStr">
        <is>
          <t>VÄSTERBOTTENS LÄN</t>
        </is>
      </c>
      <c r="E74" t="inlineStr">
        <is>
          <t>NORSJÖ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57046-2019</t>
        </is>
      </c>
      <c r="B75" s="1" t="n">
        <v>43766</v>
      </c>
      <c r="C75" s="1" t="n">
        <v>45710</v>
      </c>
      <c r="D75" t="inlineStr">
        <is>
          <t>VÄSTERBOTTENS LÄN</t>
        </is>
      </c>
      <c r="E75" t="inlineStr">
        <is>
          <t>NORSJÖ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58541-2019</t>
        </is>
      </c>
      <c r="B76" s="1" t="n">
        <v>43766</v>
      </c>
      <c r="C76" s="1" t="n">
        <v>45710</v>
      </c>
      <c r="D76" t="inlineStr">
        <is>
          <t>VÄSTERBOTTENS LÄN</t>
        </is>
      </c>
      <c r="E76" t="inlineStr">
        <is>
          <t>NORSJÖ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59546-2019</t>
        </is>
      </c>
      <c r="B77" s="1" t="n">
        <v>43773</v>
      </c>
      <c r="C77" s="1" t="n">
        <v>45710</v>
      </c>
      <c r="D77" t="inlineStr">
        <is>
          <t>VÄSTERBOTTENS LÄN</t>
        </is>
      </c>
      <c r="E77" t="inlineStr">
        <is>
          <t>NORSJÖ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58891-2019</t>
        </is>
      </c>
      <c r="B78" s="1" t="n">
        <v>43774</v>
      </c>
      <c r="C78" s="1" t="n">
        <v>45710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58890-2019</t>
        </is>
      </c>
      <c r="B79" s="1" t="n">
        <v>43774</v>
      </c>
      <c r="C79" s="1" t="n">
        <v>45710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58893-2019</t>
        </is>
      </c>
      <c r="B80" s="1" t="n">
        <v>43774</v>
      </c>
      <c r="C80" s="1" t="n">
        <v>45710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60265-2019</t>
        </is>
      </c>
      <c r="B81" s="1" t="n">
        <v>43780</v>
      </c>
      <c r="C81" s="1" t="n">
        <v>45710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62124-2019</t>
        </is>
      </c>
      <c r="B82" s="1" t="n">
        <v>43787</v>
      </c>
      <c r="C82" s="1" t="n">
        <v>45710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692-2020</t>
        </is>
      </c>
      <c r="B83" s="1" t="n">
        <v>43817</v>
      </c>
      <c r="C83" s="1" t="n">
        <v>45710</v>
      </c>
      <c r="D83" t="inlineStr">
        <is>
          <t>VÄSTERBOTTENS LÄN</t>
        </is>
      </c>
      <c r="E83" t="inlineStr">
        <is>
          <t>NORSJÖ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1854-2020</t>
        </is>
      </c>
      <c r="B84" s="1" t="n">
        <v>43844</v>
      </c>
      <c r="C84" s="1" t="n">
        <v>45710</v>
      </c>
      <c r="D84" t="inlineStr">
        <is>
          <t>VÄSTERBOTTENS LÄN</t>
        </is>
      </c>
      <c r="E84" t="inlineStr">
        <is>
          <t>NORSJÖ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3293-2020</t>
        </is>
      </c>
      <c r="B85" s="1" t="n">
        <v>43852</v>
      </c>
      <c r="C85" s="1" t="n">
        <v>45710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3237-2020</t>
        </is>
      </c>
      <c r="B86" s="1" t="n">
        <v>43852</v>
      </c>
      <c r="C86" s="1" t="n">
        <v>45710</v>
      </c>
      <c r="D86" t="inlineStr">
        <is>
          <t>VÄSTERBOTTENS LÄN</t>
        </is>
      </c>
      <c r="E86" t="inlineStr">
        <is>
          <t>NORSJÖ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5772-2020</t>
        </is>
      </c>
      <c r="B87" s="1" t="n">
        <v>43864</v>
      </c>
      <c r="C87" s="1" t="n">
        <v>45710</v>
      </c>
      <c r="D87" t="inlineStr">
        <is>
          <t>VÄSTERBOTTENS LÄN</t>
        </is>
      </c>
      <c r="E87" t="inlineStr">
        <is>
          <t>NORSJÖ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6998-2020</t>
        </is>
      </c>
      <c r="B88" s="1" t="n">
        <v>43866</v>
      </c>
      <c r="C88" s="1" t="n">
        <v>45710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7001-2020</t>
        </is>
      </c>
      <c r="B89" s="1" t="n">
        <v>43866</v>
      </c>
      <c r="C89" s="1" t="n">
        <v>45710</v>
      </c>
      <c r="D89" t="inlineStr">
        <is>
          <t>VÄSTERBOTTENS LÄN</t>
        </is>
      </c>
      <c r="E89" t="inlineStr">
        <is>
          <t>NORSJÖ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7742-2020</t>
        </is>
      </c>
      <c r="B90" s="1" t="n">
        <v>43872</v>
      </c>
      <c r="C90" s="1" t="n">
        <v>45710</v>
      </c>
      <c r="D90" t="inlineStr">
        <is>
          <t>VÄSTERBOTTENS LÄN</t>
        </is>
      </c>
      <c r="E90" t="inlineStr">
        <is>
          <t>NORSJÖ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11058-2020</t>
        </is>
      </c>
      <c r="B91" s="1" t="n">
        <v>43886</v>
      </c>
      <c r="C91" s="1" t="n">
        <v>45710</v>
      </c>
      <c r="D91" t="inlineStr">
        <is>
          <t>VÄSTERBOTTENS LÄN</t>
        </is>
      </c>
      <c r="E91" t="inlineStr">
        <is>
          <t>NORSJÖ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14882-2020</t>
        </is>
      </c>
      <c r="B92" s="1" t="n">
        <v>43906</v>
      </c>
      <c r="C92" s="1" t="n">
        <v>45710</v>
      </c>
      <c r="D92" t="inlineStr">
        <is>
          <t>VÄSTERBOTTENS LÄN</t>
        </is>
      </c>
      <c r="E92" t="inlineStr">
        <is>
          <t>NORSJÖ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18540-2020</t>
        </is>
      </c>
      <c r="B93" s="1" t="n">
        <v>43927</v>
      </c>
      <c r="C93" s="1" t="n">
        <v>45710</v>
      </c>
      <c r="D93" t="inlineStr">
        <is>
          <t>VÄSTERBOTTENS LÄN</t>
        </is>
      </c>
      <c r="E93" t="inlineStr">
        <is>
          <t>NORSJÖ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18536-2020</t>
        </is>
      </c>
      <c r="B94" s="1" t="n">
        <v>43927</v>
      </c>
      <c r="C94" s="1" t="n">
        <v>45710</v>
      </c>
      <c r="D94" t="inlineStr">
        <is>
          <t>VÄSTERBOTTENS LÄN</t>
        </is>
      </c>
      <c r="E94" t="inlineStr">
        <is>
          <t>NORSJÖ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23431-2020</t>
        </is>
      </c>
      <c r="B95" s="1" t="n">
        <v>43966</v>
      </c>
      <c r="C95" s="1" t="n">
        <v>45710</v>
      </c>
      <c r="D95" t="inlineStr">
        <is>
          <t>VÄSTERBOTTENS LÄN</t>
        </is>
      </c>
      <c r="E95" t="inlineStr">
        <is>
          <t>NORSJÖ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26433-2020</t>
        </is>
      </c>
      <c r="B96" s="1" t="n">
        <v>43987</v>
      </c>
      <c r="C96" s="1" t="n">
        <v>45710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27545-2020</t>
        </is>
      </c>
      <c r="B97" s="1" t="n">
        <v>43993</v>
      </c>
      <c r="C97" s="1" t="n">
        <v>45710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27792-2020</t>
        </is>
      </c>
      <c r="B98" s="1" t="n">
        <v>43994</v>
      </c>
      <c r="C98" s="1" t="n">
        <v>45710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28265-2020</t>
        </is>
      </c>
      <c r="B99" s="1" t="n">
        <v>43998</v>
      </c>
      <c r="C99" s="1" t="n">
        <v>45710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28345-2020</t>
        </is>
      </c>
      <c r="B100" s="1" t="n">
        <v>43998</v>
      </c>
      <c r="C100" s="1" t="n">
        <v>45710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28991-2020</t>
        </is>
      </c>
      <c r="B101" s="1" t="n">
        <v>44000</v>
      </c>
      <c r="C101" s="1" t="n">
        <v>45710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29805-2020</t>
        </is>
      </c>
      <c r="B102" s="1" t="n">
        <v>44006</v>
      </c>
      <c r="C102" s="1" t="n">
        <v>45710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30531-2020</t>
        </is>
      </c>
      <c r="B103" s="1" t="n">
        <v>44008</v>
      </c>
      <c r="C103" s="1" t="n">
        <v>45710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30777-2020</t>
        </is>
      </c>
      <c r="B104" s="1" t="n">
        <v>44009</v>
      </c>
      <c r="C104" s="1" t="n">
        <v>45710</v>
      </c>
      <c r="D104" t="inlineStr">
        <is>
          <t>VÄSTERBOTTENS LÄN</t>
        </is>
      </c>
      <c r="E104" t="inlineStr">
        <is>
          <t>NORSJÖ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31530-2020</t>
        </is>
      </c>
      <c r="B105" s="1" t="n">
        <v>44013</v>
      </c>
      <c r="C105" s="1" t="n">
        <v>45710</v>
      </c>
      <c r="D105" t="inlineStr">
        <is>
          <t>VÄSTERBOTTENS LÄN</t>
        </is>
      </c>
      <c r="E105" t="inlineStr">
        <is>
          <t>NORSJÖ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32184-2020</t>
        </is>
      </c>
      <c r="B106" s="1" t="n">
        <v>44015</v>
      </c>
      <c r="C106" s="1" t="n">
        <v>45710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32670-2020</t>
        </is>
      </c>
      <c r="B107" s="1" t="n">
        <v>44019</v>
      </c>
      <c r="C107" s="1" t="n">
        <v>45710</v>
      </c>
      <c r="D107" t="inlineStr">
        <is>
          <t>VÄSTERBOTTENS LÄN</t>
        </is>
      </c>
      <c r="E107" t="inlineStr">
        <is>
          <t>NORSJÖ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33731-2020</t>
        </is>
      </c>
      <c r="B108" s="1" t="n">
        <v>44023</v>
      </c>
      <c r="C108" s="1" t="n">
        <v>45710</v>
      </c>
      <c r="D108" t="inlineStr">
        <is>
          <t>VÄSTERBOTTENS LÄN</t>
        </is>
      </c>
      <c r="E108" t="inlineStr">
        <is>
          <t>NORSJÖ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33734-2020</t>
        </is>
      </c>
      <c r="B109" s="1" t="n">
        <v>44023</v>
      </c>
      <c r="C109" s="1" t="n">
        <v>45710</v>
      </c>
      <c r="D109" t="inlineStr">
        <is>
          <t>VÄSTERBOTTENS LÄN</t>
        </is>
      </c>
      <c r="E109" t="inlineStr">
        <is>
          <t>NORSJÖ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33928-2020</t>
        </is>
      </c>
      <c r="B110" s="1" t="n">
        <v>44027</v>
      </c>
      <c r="C110" s="1" t="n">
        <v>45710</v>
      </c>
      <c r="D110" t="inlineStr">
        <is>
          <t>VÄSTERBOTTENS LÄN</t>
        </is>
      </c>
      <c r="E110" t="inlineStr">
        <is>
          <t>NORSJÖ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34733-2020</t>
        </is>
      </c>
      <c r="B111" s="1" t="n">
        <v>44035</v>
      </c>
      <c r="C111" s="1" t="n">
        <v>45710</v>
      </c>
      <c r="D111" t="inlineStr">
        <is>
          <t>VÄSTERBOTTENS LÄN</t>
        </is>
      </c>
      <c r="E111" t="inlineStr">
        <is>
          <t>NORSJÖ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36842-2020</t>
        </is>
      </c>
      <c r="B112" s="1" t="n">
        <v>44053</v>
      </c>
      <c r="C112" s="1" t="n">
        <v>45710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36844-2020</t>
        </is>
      </c>
      <c r="B113" s="1" t="n">
        <v>44053</v>
      </c>
      <c r="C113" s="1" t="n">
        <v>45710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37073-2020</t>
        </is>
      </c>
      <c r="B114" s="1" t="n">
        <v>44054</v>
      </c>
      <c r="C114" s="1" t="n">
        <v>45710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39151-2020</t>
        </is>
      </c>
      <c r="B115" s="1" t="n">
        <v>44063</v>
      </c>
      <c r="C115" s="1" t="n">
        <v>45710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40272-2020</t>
        </is>
      </c>
      <c r="B116" s="1" t="n">
        <v>44068</v>
      </c>
      <c r="C116" s="1" t="n">
        <v>45710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41674-2020</t>
        </is>
      </c>
      <c r="B117" s="1" t="n">
        <v>44074</v>
      </c>
      <c r="C117" s="1" t="n">
        <v>45710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41664-2020</t>
        </is>
      </c>
      <c r="B118" s="1" t="n">
        <v>44074</v>
      </c>
      <c r="C118" s="1" t="n">
        <v>45710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50986-2020</t>
        </is>
      </c>
      <c r="B119" s="1" t="n">
        <v>44111</v>
      </c>
      <c r="C119" s="1" t="n">
        <v>45710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52340-2020</t>
        </is>
      </c>
      <c r="B120" s="1" t="n">
        <v>44117</v>
      </c>
      <c r="C120" s="1" t="n">
        <v>45710</v>
      </c>
      <c r="D120" t="inlineStr">
        <is>
          <t>VÄSTERBOTTENS LÄN</t>
        </is>
      </c>
      <c r="E120" t="inlineStr">
        <is>
          <t>NORSJÖ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52939-2020</t>
        </is>
      </c>
      <c r="B121" s="1" t="n">
        <v>44119</v>
      </c>
      <c r="C121" s="1" t="n">
        <v>45710</v>
      </c>
      <c r="D121" t="inlineStr">
        <is>
          <t>VÄSTERBOTTENS LÄN</t>
        </is>
      </c>
      <c r="E121" t="inlineStr">
        <is>
          <t>NORSJÖ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59031-2020</t>
        </is>
      </c>
      <c r="B122" s="1" t="n">
        <v>44147</v>
      </c>
      <c r="C122" s="1" t="n">
        <v>45710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60216-2020</t>
        </is>
      </c>
      <c r="B123" s="1" t="n">
        <v>44152</v>
      </c>
      <c r="C123" s="1" t="n">
        <v>45710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60226-2020</t>
        </is>
      </c>
      <c r="B124" s="1" t="n">
        <v>44152</v>
      </c>
      <c r="C124" s="1" t="n">
        <v>45710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61196-2020</t>
        </is>
      </c>
      <c r="B125" s="1" t="n">
        <v>44155</v>
      </c>
      <c r="C125" s="1" t="n">
        <v>45710</v>
      </c>
      <c r="D125" t="inlineStr">
        <is>
          <t>VÄSTERBOTTENS LÄN</t>
        </is>
      </c>
      <c r="E125" t="inlineStr">
        <is>
          <t>NORSJÖ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62100-2020</t>
        </is>
      </c>
      <c r="B126" s="1" t="n">
        <v>44159</v>
      </c>
      <c r="C126" s="1" t="n">
        <v>45710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62037-2020</t>
        </is>
      </c>
      <c r="B127" s="1" t="n">
        <v>44159</v>
      </c>
      <c r="C127" s="1" t="n">
        <v>45710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62701-2020</t>
        </is>
      </c>
      <c r="B128" s="1" t="n">
        <v>44161</v>
      </c>
      <c r="C128" s="1" t="n">
        <v>45710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63499-2020</t>
        </is>
      </c>
      <c r="B129" s="1" t="n">
        <v>44165</v>
      </c>
      <c r="C129" s="1" t="n">
        <v>45710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65392-2020</t>
        </is>
      </c>
      <c r="B130" s="1" t="n">
        <v>44169</v>
      </c>
      <c r="C130" s="1" t="n">
        <v>45710</v>
      </c>
      <c r="D130" t="inlineStr">
        <is>
          <t>VÄSTERBOTTENS LÄN</t>
        </is>
      </c>
      <c r="E130" t="inlineStr">
        <is>
          <t>NORSJÖ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67226-2020</t>
        </is>
      </c>
      <c r="B131" s="1" t="n">
        <v>44180</v>
      </c>
      <c r="C131" s="1" t="n">
        <v>45710</v>
      </c>
      <c r="D131" t="inlineStr">
        <is>
          <t>VÄSTERBOTTENS LÄN</t>
        </is>
      </c>
      <c r="E131" t="inlineStr">
        <is>
          <t>NORSJÖ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67227-2020</t>
        </is>
      </c>
      <c r="B132" s="1" t="n">
        <v>44180</v>
      </c>
      <c r="C132" s="1" t="n">
        <v>45710</v>
      </c>
      <c r="D132" t="inlineStr">
        <is>
          <t>VÄSTERBOTTENS LÄN</t>
        </is>
      </c>
      <c r="E132" t="inlineStr">
        <is>
          <t>NORSJÖ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2148-2021</t>
        </is>
      </c>
      <c r="B133" s="1" t="n">
        <v>44211</v>
      </c>
      <c r="C133" s="1" t="n">
        <v>45710</v>
      </c>
      <c r="D133" t="inlineStr">
        <is>
          <t>VÄSTERBOTTENS LÄN</t>
        </is>
      </c>
      <c r="E133" t="inlineStr">
        <is>
          <t>NORSJÖ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3878-2021</t>
        </is>
      </c>
      <c r="B134" s="1" t="n">
        <v>44222</v>
      </c>
      <c r="C134" s="1" t="n">
        <v>45710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7025-2021</t>
        </is>
      </c>
      <c r="B135" s="1" t="n">
        <v>44237</v>
      </c>
      <c r="C135" s="1" t="n">
        <v>45710</v>
      </c>
      <c r="D135" t="inlineStr">
        <is>
          <t>VÄSTERBOTTENS LÄN</t>
        </is>
      </c>
      <c r="E135" t="inlineStr">
        <is>
          <t>NORSJÖ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9987-2021</t>
        </is>
      </c>
      <c r="B136" s="1" t="n">
        <v>44254</v>
      </c>
      <c r="C136" s="1" t="n">
        <v>45710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10421-2021</t>
        </is>
      </c>
      <c r="B137" s="1" t="n">
        <v>44257</v>
      </c>
      <c r="C137" s="1" t="n">
        <v>45710</v>
      </c>
      <c r="D137" t="inlineStr">
        <is>
          <t>VÄSTERBOTTENS LÄN</t>
        </is>
      </c>
      <c r="E137" t="inlineStr">
        <is>
          <t>NORSJÖ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13783-2021</t>
        </is>
      </c>
      <c r="B138" s="1" t="n">
        <v>44274</v>
      </c>
      <c r="C138" s="1" t="n">
        <v>45710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15379-2021</t>
        </is>
      </c>
      <c r="B139" s="1" t="n">
        <v>44284</v>
      </c>
      <c r="C139" s="1" t="n">
        <v>45710</v>
      </c>
      <c r="D139" t="inlineStr">
        <is>
          <t>VÄSTERBOTTENS LÄN</t>
        </is>
      </c>
      <c r="E139" t="inlineStr">
        <is>
          <t>NORSJÖ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15889-2021</t>
        </is>
      </c>
      <c r="B140" s="1" t="n">
        <v>44287</v>
      </c>
      <c r="C140" s="1" t="n">
        <v>45710</v>
      </c>
      <c r="D140" t="inlineStr">
        <is>
          <t>VÄSTERBOTTENS LÄN</t>
        </is>
      </c>
      <c r="E140" t="inlineStr">
        <is>
          <t>NORSJÖ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18862-2021</t>
        </is>
      </c>
      <c r="B141" s="1" t="n">
        <v>44308</v>
      </c>
      <c r="C141" s="1" t="n">
        <v>45710</v>
      </c>
      <c r="D141" t="inlineStr">
        <is>
          <t>VÄSTERBOTTENS LÄN</t>
        </is>
      </c>
      <c r="E141" t="inlineStr">
        <is>
          <t>NORSJÖ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18861-2021</t>
        </is>
      </c>
      <c r="B142" s="1" t="n">
        <v>44308</v>
      </c>
      <c r="C142" s="1" t="n">
        <v>45710</v>
      </c>
      <c r="D142" t="inlineStr">
        <is>
          <t>VÄSTERBOTTENS LÄN</t>
        </is>
      </c>
      <c r="E142" t="inlineStr">
        <is>
          <t>NORSJÖ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19662-2021</t>
        </is>
      </c>
      <c r="B143" s="1" t="n">
        <v>44312</v>
      </c>
      <c r="C143" s="1" t="n">
        <v>45710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22978-2021</t>
        </is>
      </c>
      <c r="B144" s="1" t="n">
        <v>44328</v>
      </c>
      <c r="C144" s="1" t="n">
        <v>45710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24235-2021</t>
        </is>
      </c>
      <c r="B145" s="1" t="n">
        <v>44337</v>
      </c>
      <c r="C145" s="1" t="n">
        <v>45710</v>
      </c>
      <c r="D145" t="inlineStr">
        <is>
          <t>VÄSTERBOTTENS LÄN</t>
        </is>
      </c>
      <c r="E145" t="inlineStr">
        <is>
          <t>NORSJÖ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28462-2021</t>
        </is>
      </c>
      <c r="B146" s="1" t="n">
        <v>44356</v>
      </c>
      <c r="C146" s="1" t="n">
        <v>45710</v>
      </c>
      <c r="D146" t="inlineStr">
        <is>
          <t>VÄSTERBOTTENS LÄN</t>
        </is>
      </c>
      <c r="E146" t="inlineStr">
        <is>
          <t>NORSJÖ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28889-2021</t>
        </is>
      </c>
      <c r="B147" s="1" t="n">
        <v>44358</v>
      </c>
      <c r="C147" s="1" t="n">
        <v>45710</v>
      </c>
      <c r="D147" t="inlineStr">
        <is>
          <t>VÄSTERBOTTENS LÄN</t>
        </is>
      </c>
      <c r="E147" t="inlineStr">
        <is>
          <t>NORSJÖ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29922-2021</t>
        </is>
      </c>
      <c r="B148" s="1" t="n">
        <v>44362</v>
      </c>
      <c r="C148" s="1" t="n">
        <v>45710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29923-2021</t>
        </is>
      </c>
      <c r="B149" s="1" t="n">
        <v>44362</v>
      </c>
      <c r="C149" s="1" t="n">
        <v>45710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31414-2021</t>
        </is>
      </c>
      <c r="B150" s="1" t="n">
        <v>44368</v>
      </c>
      <c r="C150" s="1" t="n">
        <v>45710</v>
      </c>
      <c r="D150" t="inlineStr">
        <is>
          <t>VÄSTERBOTTENS LÄN</t>
        </is>
      </c>
      <c r="E150" t="inlineStr">
        <is>
          <t>NORSJÖ</t>
        </is>
      </c>
      <c r="G150" t="n">
        <v>29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32033-2021</t>
        </is>
      </c>
      <c r="B151" s="1" t="n">
        <v>44370</v>
      </c>
      <c r="C151" s="1" t="n">
        <v>45710</v>
      </c>
      <c r="D151" t="inlineStr">
        <is>
          <t>VÄSTERBOTTENS LÄN</t>
        </is>
      </c>
      <c r="E151" t="inlineStr">
        <is>
          <t>NORSJÖ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32006-2021</t>
        </is>
      </c>
      <c r="B152" s="1" t="n">
        <v>44370</v>
      </c>
      <c r="C152" s="1" t="n">
        <v>45710</v>
      </c>
      <c r="D152" t="inlineStr">
        <is>
          <t>VÄSTERBOTTENS LÄN</t>
        </is>
      </c>
      <c r="E152" t="inlineStr">
        <is>
          <t>NORSJÖ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32083-2021</t>
        </is>
      </c>
      <c r="B153" s="1" t="n">
        <v>44371</v>
      </c>
      <c r="C153" s="1" t="n">
        <v>45710</v>
      </c>
      <c r="D153" t="inlineStr">
        <is>
          <t>VÄSTERBOTTENS LÄN</t>
        </is>
      </c>
      <c r="E153" t="inlineStr">
        <is>
          <t>NORSJÖ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32451-2021</t>
        </is>
      </c>
      <c r="B154" s="1" t="n">
        <v>44371</v>
      </c>
      <c r="C154" s="1" t="n">
        <v>45710</v>
      </c>
      <c r="D154" t="inlineStr">
        <is>
          <t>VÄSTERBOTTENS LÄN</t>
        </is>
      </c>
      <c r="E154" t="inlineStr">
        <is>
          <t>NORSJÖ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32429-2021</t>
        </is>
      </c>
      <c r="B155" s="1" t="n">
        <v>44371</v>
      </c>
      <c r="C155" s="1" t="n">
        <v>45710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32661-2021</t>
        </is>
      </c>
      <c r="B156" s="1" t="n">
        <v>44375</v>
      </c>
      <c r="C156" s="1" t="n">
        <v>45710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33249-2021</t>
        </is>
      </c>
      <c r="B157" s="1" t="n">
        <v>44376</v>
      </c>
      <c r="C157" s="1" t="n">
        <v>45710</v>
      </c>
      <c r="D157" t="inlineStr">
        <is>
          <t>VÄSTERBOTTENS LÄN</t>
        </is>
      </c>
      <c r="E157" t="inlineStr">
        <is>
          <t>NORSJÖ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33261-2021</t>
        </is>
      </c>
      <c r="B158" s="1" t="n">
        <v>44376</v>
      </c>
      <c r="C158" s="1" t="n">
        <v>45710</v>
      </c>
      <c r="D158" t="inlineStr">
        <is>
          <t>VÄSTERBOTTENS LÄN</t>
        </is>
      </c>
      <c r="E158" t="inlineStr">
        <is>
          <t>NORSJÖ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33381-2021</t>
        </is>
      </c>
      <c r="B159" s="1" t="n">
        <v>44377</v>
      </c>
      <c r="C159" s="1" t="n">
        <v>45710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34883-2021</t>
        </is>
      </c>
      <c r="B160" s="1" t="n">
        <v>44382</v>
      </c>
      <c r="C160" s="1" t="n">
        <v>45710</v>
      </c>
      <c r="D160" t="inlineStr">
        <is>
          <t>VÄSTERBOTTENS LÄN</t>
        </is>
      </c>
      <c r="E160" t="inlineStr">
        <is>
          <t>NORSJÖ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34900-2021</t>
        </is>
      </c>
      <c r="B161" s="1" t="n">
        <v>44383</v>
      </c>
      <c r="C161" s="1" t="n">
        <v>45710</v>
      </c>
      <c r="D161" t="inlineStr">
        <is>
          <t>VÄSTERBOTTENS LÄN</t>
        </is>
      </c>
      <c r="E161" t="inlineStr">
        <is>
          <t>NORSJÖ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38172-2021</t>
        </is>
      </c>
      <c r="B162" s="1" t="n">
        <v>44405</v>
      </c>
      <c r="C162" s="1" t="n">
        <v>45710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38241-2021</t>
        </is>
      </c>
      <c r="B163" s="1" t="n">
        <v>44405</v>
      </c>
      <c r="C163" s="1" t="n">
        <v>45710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38210-2021</t>
        </is>
      </c>
      <c r="B164" s="1" t="n">
        <v>44405</v>
      </c>
      <c r="C164" s="1" t="n">
        <v>45710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39305-2021</t>
        </is>
      </c>
      <c r="B165" s="1" t="n">
        <v>44413</v>
      </c>
      <c r="C165" s="1" t="n">
        <v>45710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39577-2021</t>
        </is>
      </c>
      <c r="B166" s="1" t="n">
        <v>44416</v>
      </c>
      <c r="C166" s="1" t="n">
        <v>45710</v>
      </c>
      <c r="D166" t="inlineStr">
        <is>
          <t>VÄSTERBOTTENS LÄN</t>
        </is>
      </c>
      <c r="E166" t="inlineStr">
        <is>
          <t>NORSJÖ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39936-2021</t>
        </is>
      </c>
      <c r="B167" s="1" t="n">
        <v>44418</v>
      </c>
      <c r="C167" s="1" t="n">
        <v>45710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39995-2021</t>
        </is>
      </c>
      <c r="B168" s="1" t="n">
        <v>44417</v>
      </c>
      <c r="C168" s="1" t="n">
        <v>45710</v>
      </c>
      <c r="D168" t="inlineStr">
        <is>
          <t>VÄSTERBOTTENS LÄN</t>
        </is>
      </c>
      <c r="E168" t="inlineStr">
        <is>
          <t>NORSJÖ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41250-2021</t>
        </is>
      </c>
      <c r="B169" s="1" t="n">
        <v>44424</v>
      </c>
      <c r="C169" s="1" t="n">
        <v>45710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44584-2021</t>
        </is>
      </c>
      <c r="B170" s="1" t="n">
        <v>44435</v>
      </c>
      <c r="C170" s="1" t="n">
        <v>45710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44582-2021</t>
        </is>
      </c>
      <c r="B171" s="1" t="n">
        <v>44435</v>
      </c>
      <c r="C171" s="1" t="n">
        <v>45710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45618-2021</t>
        </is>
      </c>
      <c r="B172" s="1" t="n">
        <v>44441</v>
      </c>
      <c r="C172" s="1" t="n">
        <v>45710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46018-2021</t>
        </is>
      </c>
      <c r="B173" s="1" t="n">
        <v>44441</v>
      </c>
      <c r="C173" s="1" t="n">
        <v>45710</v>
      </c>
      <c r="D173" t="inlineStr">
        <is>
          <t>VÄSTERBOTTENS LÄN</t>
        </is>
      </c>
      <c r="E173" t="inlineStr">
        <is>
          <t>NORSJÖ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46776-2021</t>
        </is>
      </c>
      <c r="B174" s="1" t="n">
        <v>44446</v>
      </c>
      <c r="C174" s="1" t="n">
        <v>45710</v>
      </c>
      <c r="D174" t="inlineStr">
        <is>
          <t>VÄSTERBOTTENS LÄN</t>
        </is>
      </c>
      <c r="E174" t="inlineStr">
        <is>
          <t>NORSJÖ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46775-2021</t>
        </is>
      </c>
      <c r="B175" s="1" t="n">
        <v>44446</v>
      </c>
      <c r="C175" s="1" t="n">
        <v>45710</v>
      </c>
      <c r="D175" t="inlineStr">
        <is>
          <t>VÄSTERBOTTENS LÄN</t>
        </is>
      </c>
      <c r="E175" t="inlineStr">
        <is>
          <t>NORSJÖ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49173-2021</t>
        </is>
      </c>
      <c r="B176" s="1" t="n">
        <v>44453</v>
      </c>
      <c r="C176" s="1" t="n">
        <v>45710</v>
      </c>
      <c r="D176" t="inlineStr">
        <is>
          <t>VÄSTERBOTTENS LÄN</t>
        </is>
      </c>
      <c r="E176" t="inlineStr">
        <is>
          <t>NORSJÖ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51297-2021</t>
        </is>
      </c>
      <c r="B177" s="1" t="n">
        <v>44461</v>
      </c>
      <c r="C177" s="1" t="n">
        <v>45710</v>
      </c>
      <c r="D177" t="inlineStr">
        <is>
          <t>VÄSTERBOTTENS LÄN</t>
        </is>
      </c>
      <c r="E177" t="inlineStr">
        <is>
          <t>NORSJÖ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51682-2021</t>
        </is>
      </c>
      <c r="B178" s="1" t="n">
        <v>44462</v>
      </c>
      <c r="C178" s="1" t="n">
        <v>45710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52552-2021</t>
        </is>
      </c>
      <c r="B179" s="1" t="n">
        <v>44466</v>
      </c>
      <c r="C179" s="1" t="n">
        <v>45710</v>
      </c>
      <c r="D179" t="inlineStr">
        <is>
          <t>VÄSTERBOTTENS LÄN</t>
        </is>
      </c>
      <c r="E179" t="inlineStr">
        <is>
          <t>NORSJÖ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53557-2021</t>
        </is>
      </c>
      <c r="B180" s="1" t="n">
        <v>44468</v>
      </c>
      <c r="C180" s="1" t="n">
        <v>45710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54388-2021</t>
        </is>
      </c>
      <c r="B181" s="1" t="n">
        <v>44470</v>
      </c>
      <c r="C181" s="1" t="n">
        <v>45710</v>
      </c>
      <c r="D181" t="inlineStr">
        <is>
          <t>VÄSTERBOTTENS LÄN</t>
        </is>
      </c>
      <c r="E181" t="inlineStr">
        <is>
          <t>NORSJÖ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55160-2021</t>
        </is>
      </c>
      <c r="B182" s="1" t="n">
        <v>44475</v>
      </c>
      <c r="C182" s="1" t="n">
        <v>45710</v>
      </c>
      <c r="D182" t="inlineStr">
        <is>
          <t>VÄSTERBOTTENS LÄN</t>
        </is>
      </c>
      <c r="E182" t="inlineStr">
        <is>
          <t>NORSJÖ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55159-2021</t>
        </is>
      </c>
      <c r="B183" s="1" t="n">
        <v>44475</v>
      </c>
      <c r="C183" s="1" t="n">
        <v>45710</v>
      </c>
      <c r="D183" t="inlineStr">
        <is>
          <t>VÄSTERBOTTENS LÄN</t>
        </is>
      </c>
      <c r="E183" t="inlineStr">
        <is>
          <t>NORSJÖ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55743-2021</t>
        </is>
      </c>
      <c r="B184" s="1" t="n">
        <v>44476</v>
      </c>
      <c r="C184" s="1" t="n">
        <v>45710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55741-2021</t>
        </is>
      </c>
      <c r="B185" s="1" t="n">
        <v>44476</v>
      </c>
      <c r="C185" s="1" t="n">
        <v>45710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57195-2021</t>
        </is>
      </c>
      <c r="B186" s="1" t="n">
        <v>44483</v>
      </c>
      <c r="C186" s="1" t="n">
        <v>45710</v>
      </c>
      <c r="D186" t="inlineStr">
        <is>
          <t>VÄSTERBOTTENS LÄN</t>
        </is>
      </c>
      <c r="E186" t="inlineStr">
        <is>
          <t>NORSJÖ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57126-2021</t>
        </is>
      </c>
      <c r="B187" s="1" t="n">
        <v>44482</v>
      </c>
      <c r="C187" s="1" t="n">
        <v>45710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58005-2021</t>
        </is>
      </c>
      <c r="B188" s="1" t="n">
        <v>44487</v>
      </c>
      <c r="C188" s="1" t="n">
        <v>45710</v>
      </c>
      <c r="D188" t="inlineStr">
        <is>
          <t>VÄSTERBOTTENS LÄN</t>
        </is>
      </c>
      <c r="E188" t="inlineStr">
        <is>
          <t>NORSJÖ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58204-2021</t>
        </is>
      </c>
      <c r="B189" s="1" t="n">
        <v>44487</v>
      </c>
      <c r="C189" s="1" t="n">
        <v>45710</v>
      </c>
      <c r="D189" t="inlineStr">
        <is>
          <t>VÄSTERBOTTENS LÄN</t>
        </is>
      </c>
      <c r="E189" t="inlineStr">
        <is>
          <t>NORSJÖ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59133-2021</t>
        </is>
      </c>
      <c r="B190" s="1" t="n">
        <v>44490</v>
      </c>
      <c r="C190" s="1" t="n">
        <v>45710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59136-2021</t>
        </is>
      </c>
      <c r="B191" s="1" t="n">
        <v>44490</v>
      </c>
      <c r="C191" s="1" t="n">
        <v>45710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59280-2021</t>
        </is>
      </c>
      <c r="B192" s="1" t="n">
        <v>44490</v>
      </c>
      <c r="C192" s="1" t="n">
        <v>45710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64179-2021</t>
        </is>
      </c>
      <c r="B193" s="1" t="n">
        <v>44510</v>
      </c>
      <c r="C193" s="1" t="n">
        <v>45710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67104-2021</t>
        </is>
      </c>
      <c r="B194" s="1" t="n">
        <v>44523</v>
      </c>
      <c r="C194" s="1" t="n">
        <v>45710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Naturvårdsverket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67379-2021</t>
        </is>
      </c>
      <c r="B195" s="1" t="n">
        <v>44523</v>
      </c>
      <c r="C195" s="1" t="n">
        <v>45710</v>
      </c>
      <c r="D195" t="inlineStr">
        <is>
          <t>VÄSTERBOTTENS LÄN</t>
        </is>
      </c>
      <c r="E195" t="inlineStr">
        <is>
          <t>NORSJÖ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67677-2021</t>
        </is>
      </c>
      <c r="B196" s="1" t="n">
        <v>44524</v>
      </c>
      <c r="C196" s="1" t="n">
        <v>45710</v>
      </c>
      <c r="D196" t="inlineStr">
        <is>
          <t>VÄSTERBOTTENS LÄN</t>
        </is>
      </c>
      <c r="E196" t="inlineStr">
        <is>
          <t>NORSJÖ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70216-2021</t>
        </is>
      </c>
      <c r="B197" s="1" t="n">
        <v>44535</v>
      </c>
      <c r="C197" s="1" t="n">
        <v>45710</v>
      </c>
      <c r="D197" t="inlineStr">
        <is>
          <t>VÄSTERBOTTENS LÄN</t>
        </is>
      </c>
      <c r="E197" t="inlineStr">
        <is>
          <t>NORSJÖ</t>
        </is>
      </c>
      <c r="G197" t="n">
        <v>16.4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70375-2021</t>
        </is>
      </c>
      <c r="B198" s="1" t="n">
        <v>44536</v>
      </c>
      <c r="C198" s="1" t="n">
        <v>45710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72322-2021</t>
        </is>
      </c>
      <c r="B199" s="1" t="n">
        <v>44545</v>
      </c>
      <c r="C199" s="1" t="n">
        <v>45710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72590-2021</t>
        </is>
      </c>
      <c r="B200" s="1" t="n">
        <v>44546</v>
      </c>
      <c r="C200" s="1" t="n">
        <v>45710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73559-2021</t>
        </is>
      </c>
      <c r="B201" s="1" t="n">
        <v>44551</v>
      </c>
      <c r="C201" s="1" t="n">
        <v>45710</v>
      </c>
      <c r="D201" t="inlineStr">
        <is>
          <t>VÄSTERBOTTENS LÄN</t>
        </is>
      </c>
      <c r="E201" t="inlineStr">
        <is>
          <t>NORSJÖ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73995-2021</t>
        </is>
      </c>
      <c r="B202" s="1" t="n">
        <v>44556</v>
      </c>
      <c r="C202" s="1" t="n">
        <v>45710</v>
      </c>
      <c r="D202" t="inlineStr">
        <is>
          <t>VÄSTERBOTTENS LÄN</t>
        </is>
      </c>
      <c r="E202" t="inlineStr">
        <is>
          <t>NORSJÖ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436-2022</t>
        </is>
      </c>
      <c r="B203" s="1" t="n">
        <v>44565</v>
      </c>
      <c r="C203" s="1" t="n">
        <v>45710</v>
      </c>
      <c r="D203" t="inlineStr">
        <is>
          <t>VÄSTERBOTTENS LÄN</t>
        </is>
      </c>
      <c r="E203" t="inlineStr">
        <is>
          <t>NORSJÖ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1463-2022</t>
        </is>
      </c>
      <c r="B204" s="1" t="n">
        <v>44573</v>
      </c>
      <c r="C204" s="1" t="n">
        <v>45710</v>
      </c>
      <c r="D204" t="inlineStr">
        <is>
          <t>VÄSTERBOTTENS LÄN</t>
        </is>
      </c>
      <c r="E204" t="inlineStr">
        <is>
          <t>NORSJÖ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1853-2022</t>
        </is>
      </c>
      <c r="B205" s="1" t="n">
        <v>44574</v>
      </c>
      <c r="C205" s="1" t="n">
        <v>45710</v>
      </c>
      <c r="D205" t="inlineStr">
        <is>
          <t>VÄSTERBOTTENS LÄN</t>
        </is>
      </c>
      <c r="E205" t="inlineStr">
        <is>
          <t>NORSJÖ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5371-2022</t>
        </is>
      </c>
      <c r="B206" s="1" t="n">
        <v>44594</v>
      </c>
      <c r="C206" s="1" t="n">
        <v>45710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5368-2022</t>
        </is>
      </c>
      <c r="B207" s="1" t="n">
        <v>44594</v>
      </c>
      <c r="C207" s="1" t="n">
        <v>45710</v>
      </c>
      <c r="D207" t="inlineStr">
        <is>
          <t>VÄSTERBOTTENS LÄN</t>
        </is>
      </c>
      <c r="E207" t="inlineStr">
        <is>
          <t>NORSJÖ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5372-2022</t>
        </is>
      </c>
      <c r="B208" s="1" t="n">
        <v>44594</v>
      </c>
      <c r="C208" s="1" t="n">
        <v>45710</v>
      </c>
      <c r="D208" t="inlineStr">
        <is>
          <t>VÄSTERBOTTENS LÄN</t>
        </is>
      </c>
      <c r="E208" t="inlineStr">
        <is>
          <t>NORSJÖ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6901-2022</t>
        </is>
      </c>
      <c r="B209" s="1" t="n">
        <v>44602</v>
      </c>
      <c r="C209" s="1" t="n">
        <v>45710</v>
      </c>
      <c r="D209" t="inlineStr">
        <is>
          <t>VÄSTERBOTTENS LÄN</t>
        </is>
      </c>
      <c r="E209" t="inlineStr">
        <is>
          <t>NORSJÖ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6902-2022</t>
        </is>
      </c>
      <c r="B210" s="1" t="n">
        <v>44602</v>
      </c>
      <c r="C210" s="1" t="n">
        <v>45710</v>
      </c>
      <c r="D210" t="inlineStr">
        <is>
          <t>VÄSTERBOTTENS LÄN</t>
        </is>
      </c>
      <c r="E210" t="inlineStr">
        <is>
          <t>NORSJÖ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6904-2022</t>
        </is>
      </c>
      <c r="B211" s="1" t="n">
        <v>44602</v>
      </c>
      <c r="C211" s="1" t="n">
        <v>45710</v>
      </c>
      <c r="D211" t="inlineStr">
        <is>
          <t>VÄSTERBOTTENS LÄN</t>
        </is>
      </c>
      <c r="E211" t="inlineStr">
        <is>
          <t>NORSJÖ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7320-2022</t>
        </is>
      </c>
      <c r="B212" s="1" t="n">
        <v>44606</v>
      </c>
      <c r="C212" s="1" t="n">
        <v>45710</v>
      </c>
      <c r="D212" t="inlineStr">
        <is>
          <t>VÄSTERBOTTENS LÄN</t>
        </is>
      </c>
      <c r="E212" t="inlineStr">
        <is>
          <t>NORSJÖ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7979-2022</t>
        </is>
      </c>
      <c r="B213" s="1" t="n">
        <v>44608</v>
      </c>
      <c r="C213" s="1" t="n">
        <v>45710</v>
      </c>
      <c r="D213" t="inlineStr">
        <is>
          <t>VÄSTERBOTTENS LÄN</t>
        </is>
      </c>
      <c r="E213" t="inlineStr">
        <is>
          <t>NORSJÖ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8917-2022</t>
        </is>
      </c>
      <c r="B214" s="1" t="n">
        <v>44615</v>
      </c>
      <c r="C214" s="1" t="n">
        <v>45710</v>
      </c>
      <c r="D214" t="inlineStr">
        <is>
          <t>VÄSTERBOTTENS LÄN</t>
        </is>
      </c>
      <c r="E214" t="inlineStr">
        <is>
          <t>NORSJÖ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9061-2022</t>
        </is>
      </c>
      <c r="B215" s="1" t="n">
        <v>44615</v>
      </c>
      <c r="C215" s="1" t="n">
        <v>45710</v>
      </c>
      <c r="D215" t="inlineStr">
        <is>
          <t>VÄSTERBOTTENS LÄN</t>
        </is>
      </c>
      <c r="E215" t="inlineStr">
        <is>
          <t>NORSJÖ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9719-2022</t>
        </is>
      </c>
      <c r="B216" s="1" t="n">
        <v>44617</v>
      </c>
      <c r="C216" s="1" t="n">
        <v>45710</v>
      </c>
      <c r="D216" t="inlineStr">
        <is>
          <t>VÄSTERBOTTENS LÄN</t>
        </is>
      </c>
      <c r="E216" t="inlineStr">
        <is>
          <t>NORSJÖ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9718-2022</t>
        </is>
      </c>
      <c r="B217" s="1" t="n">
        <v>44617</v>
      </c>
      <c r="C217" s="1" t="n">
        <v>45710</v>
      </c>
      <c r="D217" t="inlineStr">
        <is>
          <t>VÄSTERBOTTENS LÄN</t>
        </is>
      </c>
      <c r="E217" t="inlineStr">
        <is>
          <t>NORSJÖ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9921-2022</t>
        </is>
      </c>
      <c r="B218" s="1" t="n">
        <v>44620</v>
      </c>
      <c r="C218" s="1" t="n">
        <v>45710</v>
      </c>
      <c r="D218" t="inlineStr">
        <is>
          <t>VÄSTERBOTTENS LÄN</t>
        </is>
      </c>
      <c r="E218" t="inlineStr">
        <is>
          <t>NORSJÖ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15085-2022</t>
        </is>
      </c>
      <c r="B219" s="1" t="n">
        <v>44658</v>
      </c>
      <c r="C219" s="1" t="n">
        <v>45710</v>
      </c>
      <c r="D219" t="inlineStr">
        <is>
          <t>VÄSTERBOTTENS LÄN</t>
        </is>
      </c>
      <c r="E219" t="inlineStr">
        <is>
          <t>NORSJÖ</t>
        </is>
      </c>
      <c r="F219" t="inlineStr">
        <is>
          <t>Kyrkan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16294-2022</t>
        </is>
      </c>
      <c r="B220" s="1" t="n">
        <v>44670</v>
      </c>
      <c r="C220" s="1" t="n">
        <v>45710</v>
      </c>
      <c r="D220" t="inlineStr">
        <is>
          <t>VÄSTERBOTTENS LÄN</t>
        </is>
      </c>
      <c r="E220" t="inlineStr">
        <is>
          <t>NORSJÖ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16298-2022</t>
        </is>
      </c>
      <c r="B221" s="1" t="n">
        <v>44670</v>
      </c>
      <c r="C221" s="1" t="n">
        <v>45710</v>
      </c>
      <c r="D221" t="inlineStr">
        <is>
          <t>VÄSTERBOTTENS LÄN</t>
        </is>
      </c>
      <c r="E221" t="inlineStr">
        <is>
          <t>NORSJÖ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22912-2022</t>
        </is>
      </c>
      <c r="B222" s="1" t="n">
        <v>44715</v>
      </c>
      <c r="C222" s="1" t="n">
        <v>45710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23127-2022</t>
        </is>
      </c>
      <c r="B223" s="1" t="n">
        <v>44719</v>
      </c>
      <c r="C223" s="1" t="n">
        <v>45710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23168-2022</t>
        </is>
      </c>
      <c r="B224" s="1" t="n">
        <v>44719</v>
      </c>
      <c r="C224" s="1" t="n">
        <v>45710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23658-2022</t>
        </is>
      </c>
      <c r="B225" s="1" t="n">
        <v>44721</v>
      </c>
      <c r="C225" s="1" t="n">
        <v>45710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24814-2022</t>
        </is>
      </c>
      <c r="B226" s="1" t="n">
        <v>44728</v>
      </c>
      <c r="C226" s="1" t="n">
        <v>45710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27079-2022</t>
        </is>
      </c>
      <c r="B227" s="1" t="n">
        <v>44741</v>
      </c>
      <c r="C227" s="1" t="n">
        <v>45710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27563-2022</t>
        </is>
      </c>
      <c r="B228" s="1" t="n">
        <v>44743</v>
      </c>
      <c r="C228" s="1" t="n">
        <v>45710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28884-2022</t>
        </is>
      </c>
      <c r="B229" s="1" t="n">
        <v>44749</v>
      </c>
      <c r="C229" s="1" t="n">
        <v>45710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29275-2022</t>
        </is>
      </c>
      <c r="B230" s="1" t="n">
        <v>44750</v>
      </c>
      <c r="C230" s="1" t="n">
        <v>45710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32347-2022</t>
        </is>
      </c>
      <c r="B231" s="1" t="n">
        <v>44782</v>
      </c>
      <c r="C231" s="1" t="n">
        <v>45710</v>
      </c>
      <c r="D231" t="inlineStr">
        <is>
          <t>VÄSTERBOTTENS LÄN</t>
        </is>
      </c>
      <c r="E231" t="inlineStr">
        <is>
          <t>NORSJÖ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33468-2022</t>
        </is>
      </c>
      <c r="B232" s="1" t="n">
        <v>44788</v>
      </c>
      <c r="C232" s="1" t="n">
        <v>45710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35478-2022</t>
        </is>
      </c>
      <c r="B233" s="1" t="n">
        <v>44798</v>
      </c>
      <c r="C233" s="1" t="n">
        <v>45710</v>
      </c>
      <c r="D233" t="inlineStr">
        <is>
          <t>VÄSTERBOTTENS LÄN</t>
        </is>
      </c>
      <c r="E233" t="inlineStr">
        <is>
          <t>NORSJÖ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36472-2022</t>
        </is>
      </c>
      <c r="B234" s="1" t="n">
        <v>44804</v>
      </c>
      <c r="C234" s="1" t="n">
        <v>45710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36600-2022</t>
        </is>
      </c>
      <c r="B235" s="1" t="n">
        <v>44804</v>
      </c>
      <c r="C235" s="1" t="n">
        <v>45710</v>
      </c>
      <c r="D235" t="inlineStr">
        <is>
          <t>VÄSTERBOTTENS LÄN</t>
        </is>
      </c>
      <c r="E235" t="inlineStr">
        <is>
          <t>NORSJÖ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37135-2022</t>
        </is>
      </c>
      <c r="B236" s="1" t="n">
        <v>44806</v>
      </c>
      <c r="C236" s="1" t="n">
        <v>45710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38089-2022</t>
        </is>
      </c>
      <c r="B237" s="1" t="n">
        <v>44812</v>
      </c>
      <c r="C237" s="1" t="n">
        <v>45710</v>
      </c>
      <c r="D237" t="inlineStr">
        <is>
          <t>VÄSTERBOTTENS LÄN</t>
        </is>
      </c>
      <c r="E237" t="inlineStr">
        <is>
          <t>NORSJÖ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38999-2022</t>
        </is>
      </c>
      <c r="B238" s="1" t="n">
        <v>44817</v>
      </c>
      <c r="C238" s="1" t="n">
        <v>45710</v>
      </c>
      <c r="D238" t="inlineStr">
        <is>
          <t>VÄSTERBOTTENS LÄN</t>
        </is>
      </c>
      <c r="E238" t="inlineStr">
        <is>
          <t>NORSJÖ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39558-2022</t>
        </is>
      </c>
      <c r="B239" s="1" t="n">
        <v>44818</v>
      </c>
      <c r="C239" s="1" t="n">
        <v>45710</v>
      </c>
      <c r="D239" t="inlineStr">
        <is>
          <t>VÄSTERBOTTENS LÄN</t>
        </is>
      </c>
      <c r="E239" t="inlineStr">
        <is>
          <t>NORSJÖ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39988-2022</t>
        </is>
      </c>
      <c r="B240" s="1" t="n">
        <v>44820</v>
      </c>
      <c r="C240" s="1" t="n">
        <v>45710</v>
      </c>
      <c r="D240" t="inlineStr">
        <is>
          <t>VÄSTERBOTTENS LÄN</t>
        </is>
      </c>
      <c r="E240" t="inlineStr">
        <is>
          <t>NORSJÖ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41890-2022</t>
        </is>
      </c>
      <c r="B241" s="1" t="n">
        <v>44830</v>
      </c>
      <c r="C241" s="1" t="n">
        <v>45710</v>
      </c>
      <c r="D241" t="inlineStr">
        <is>
          <t>VÄSTERBOTTENS LÄN</t>
        </is>
      </c>
      <c r="E241" t="inlineStr">
        <is>
          <t>NORSJÖ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42114-2022</t>
        </is>
      </c>
      <c r="B242" s="1" t="n">
        <v>44830</v>
      </c>
      <c r="C242" s="1" t="n">
        <v>45710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42262-2022</t>
        </is>
      </c>
      <c r="B243" s="1" t="n">
        <v>44831</v>
      </c>
      <c r="C243" s="1" t="n">
        <v>45710</v>
      </c>
      <c r="D243" t="inlineStr">
        <is>
          <t>VÄSTERBOTTENS LÄN</t>
        </is>
      </c>
      <c r="E243" t="inlineStr">
        <is>
          <t>NORSJÖ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42253-2022</t>
        </is>
      </c>
      <c r="B244" s="1" t="n">
        <v>44831</v>
      </c>
      <c r="C244" s="1" t="n">
        <v>45710</v>
      </c>
      <c r="D244" t="inlineStr">
        <is>
          <t>VÄSTERBOTTENS LÄN</t>
        </is>
      </c>
      <c r="E244" t="inlineStr">
        <is>
          <t>NORSJÖ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42367-2022</t>
        </is>
      </c>
      <c r="B245" s="1" t="n">
        <v>44831</v>
      </c>
      <c r="C245" s="1" t="n">
        <v>45710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42950-2022</t>
        </is>
      </c>
      <c r="B246" s="1" t="n">
        <v>44832</v>
      </c>
      <c r="C246" s="1" t="n">
        <v>45710</v>
      </c>
      <c r="D246" t="inlineStr">
        <is>
          <t>VÄSTERBOTTENS LÄN</t>
        </is>
      </c>
      <c r="E246" t="inlineStr">
        <is>
          <t>NORSJÖ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44030-2022</t>
        </is>
      </c>
      <c r="B247" s="1" t="n">
        <v>44839</v>
      </c>
      <c r="C247" s="1" t="n">
        <v>45710</v>
      </c>
      <c r="D247" t="inlineStr">
        <is>
          <t>VÄSTERBOTTENS LÄN</t>
        </is>
      </c>
      <c r="E247" t="inlineStr">
        <is>
          <t>NORSJÖ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46090-2022</t>
        </is>
      </c>
      <c r="B248" s="1" t="n">
        <v>44844</v>
      </c>
      <c r="C248" s="1" t="n">
        <v>45710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46444-2022</t>
        </is>
      </c>
      <c r="B249" s="1" t="n">
        <v>44848</v>
      </c>
      <c r="C249" s="1" t="n">
        <v>45710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46860-2022</t>
        </is>
      </c>
      <c r="B250" s="1" t="n">
        <v>44848</v>
      </c>
      <c r="C250" s="1" t="n">
        <v>45710</v>
      </c>
      <c r="D250" t="inlineStr">
        <is>
          <t>VÄSTERBOTTENS LÄN</t>
        </is>
      </c>
      <c r="E250" t="inlineStr">
        <is>
          <t>NORSJÖ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46848-2022</t>
        </is>
      </c>
      <c r="B251" s="1" t="n">
        <v>44848</v>
      </c>
      <c r="C251" s="1" t="n">
        <v>45710</v>
      </c>
      <c r="D251" t="inlineStr">
        <is>
          <t>VÄSTERBOTTENS LÄN</t>
        </is>
      </c>
      <c r="E251" t="inlineStr">
        <is>
          <t>NORSJÖ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47399-2022</t>
        </is>
      </c>
      <c r="B252" s="1" t="n">
        <v>44853</v>
      </c>
      <c r="C252" s="1" t="n">
        <v>45710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47773-2022</t>
        </is>
      </c>
      <c r="B253" s="1" t="n">
        <v>44855</v>
      </c>
      <c r="C253" s="1" t="n">
        <v>45710</v>
      </c>
      <c r="D253" t="inlineStr">
        <is>
          <t>VÄSTERBOTTENS LÄN</t>
        </is>
      </c>
      <c r="E253" t="inlineStr">
        <is>
          <t>NORSJÖ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49735-2022</t>
        </is>
      </c>
      <c r="B254" s="1" t="n">
        <v>44862</v>
      </c>
      <c r="C254" s="1" t="n">
        <v>45710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50730-2022</t>
        </is>
      </c>
      <c r="B255" s="1" t="n">
        <v>44867</v>
      </c>
      <c r="C255" s="1" t="n">
        <v>45710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50706-2022</t>
        </is>
      </c>
      <c r="B256" s="1" t="n">
        <v>44867</v>
      </c>
      <c r="C256" s="1" t="n">
        <v>45710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50796-2022</t>
        </is>
      </c>
      <c r="B257" s="1" t="n">
        <v>44867</v>
      </c>
      <c r="C257" s="1" t="n">
        <v>45710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51000-2022</t>
        </is>
      </c>
      <c r="B258" s="1" t="n">
        <v>44867</v>
      </c>
      <c r="C258" s="1" t="n">
        <v>45710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51491-2022</t>
        </is>
      </c>
      <c r="B259" s="1" t="n">
        <v>44869</v>
      </c>
      <c r="C259" s="1" t="n">
        <v>45710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51493-2022</t>
        </is>
      </c>
      <c r="B260" s="1" t="n">
        <v>44869</v>
      </c>
      <c r="C260" s="1" t="n">
        <v>45710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51995-2022</t>
        </is>
      </c>
      <c r="B261" s="1" t="n">
        <v>44872</v>
      </c>
      <c r="C261" s="1" t="n">
        <v>45710</v>
      </c>
      <c r="D261" t="inlineStr">
        <is>
          <t>VÄSTERBOTTENS LÄN</t>
        </is>
      </c>
      <c r="E261" t="inlineStr">
        <is>
          <t>NORSJÖ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51926-2022</t>
        </is>
      </c>
      <c r="B262" s="1" t="n">
        <v>44872</v>
      </c>
      <c r="C262" s="1" t="n">
        <v>45710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51998-2022</t>
        </is>
      </c>
      <c r="B263" s="1" t="n">
        <v>44872</v>
      </c>
      <c r="C263" s="1" t="n">
        <v>45710</v>
      </c>
      <c r="D263" t="inlineStr">
        <is>
          <t>VÄSTERBOTTENS LÄN</t>
        </is>
      </c>
      <c r="E263" t="inlineStr">
        <is>
          <t>NORSJÖ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52330-2022</t>
        </is>
      </c>
      <c r="B264" s="1" t="n">
        <v>44873</v>
      </c>
      <c r="C264" s="1" t="n">
        <v>45710</v>
      </c>
      <c r="D264" t="inlineStr">
        <is>
          <t>VÄSTERBOTTENS LÄN</t>
        </is>
      </c>
      <c r="E264" t="inlineStr">
        <is>
          <t>NORSJÖ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52329-2022</t>
        </is>
      </c>
      <c r="B265" s="1" t="n">
        <v>44873</v>
      </c>
      <c r="C265" s="1" t="n">
        <v>45710</v>
      </c>
      <c r="D265" t="inlineStr">
        <is>
          <t>VÄSTERBOTTENS LÄN</t>
        </is>
      </c>
      <c r="E265" t="inlineStr">
        <is>
          <t>NORSJÖ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52538-2022</t>
        </is>
      </c>
      <c r="B266" s="1" t="n">
        <v>44874</v>
      </c>
      <c r="C266" s="1" t="n">
        <v>45710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52534-2022</t>
        </is>
      </c>
      <c r="B267" s="1" t="n">
        <v>44874</v>
      </c>
      <c r="C267" s="1" t="n">
        <v>45710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52533-2022</t>
        </is>
      </c>
      <c r="B268" s="1" t="n">
        <v>44874</v>
      </c>
      <c r="C268" s="1" t="n">
        <v>45710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53105-2022</t>
        </is>
      </c>
      <c r="B269" s="1" t="n">
        <v>44876</v>
      </c>
      <c r="C269" s="1" t="n">
        <v>45710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53624-2022</t>
        </is>
      </c>
      <c r="B270" s="1" t="n">
        <v>44879</v>
      </c>
      <c r="C270" s="1" t="n">
        <v>45710</v>
      </c>
      <c r="D270" t="inlineStr">
        <is>
          <t>VÄSTERBOTTENS LÄN</t>
        </is>
      </c>
      <c r="E270" t="inlineStr">
        <is>
          <t>NORSJÖ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54891-2022</t>
        </is>
      </c>
      <c r="B271" s="1" t="n">
        <v>44886</v>
      </c>
      <c r="C271" s="1" t="n">
        <v>45710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56398-2022</t>
        </is>
      </c>
      <c r="B272" s="1" t="n">
        <v>44890</v>
      </c>
      <c r="C272" s="1" t="n">
        <v>45710</v>
      </c>
      <c r="D272" t="inlineStr">
        <is>
          <t>VÄSTERBOTTENS LÄN</t>
        </is>
      </c>
      <c r="E272" t="inlineStr">
        <is>
          <t>NORSJÖ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56436-2022</t>
        </is>
      </c>
      <c r="B273" s="1" t="n">
        <v>44892</v>
      </c>
      <c r="C273" s="1" t="n">
        <v>45710</v>
      </c>
      <c r="D273" t="inlineStr">
        <is>
          <t>VÄSTERBOTTENS LÄN</t>
        </is>
      </c>
      <c r="E273" t="inlineStr">
        <is>
          <t>NORSJÖ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56620-2022</t>
        </is>
      </c>
      <c r="B274" s="1" t="n">
        <v>44893</v>
      </c>
      <c r="C274" s="1" t="n">
        <v>45710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56716-2022</t>
        </is>
      </c>
      <c r="B275" s="1" t="n">
        <v>44893</v>
      </c>
      <c r="C275" s="1" t="n">
        <v>45710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56725-2022</t>
        </is>
      </c>
      <c r="B276" s="1" t="n">
        <v>44893</v>
      </c>
      <c r="C276" s="1" t="n">
        <v>45710</v>
      </c>
      <c r="D276" t="inlineStr">
        <is>
          <t>VÄSTERBOTTENS LÄN</t>
        </is>
      </c>
      <c r="E276" t="inlineStr">
        <is>
          <t>NORSJÖ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56717-2022</t>
        </is>
      </c>
      <c r="B277" s="1" t="n">
        <v>44893</v>
      </c>
      <c r="C277" s="1" t="n">
        <v>45710</v>
      </c>
      <c r="D277" t="inlineStr">
        <is>
          <t>VÄSTERBOTTENS LÄN</t>
        </is>
      </c>
      <c r="E277" t="inlineStr">
        <is>
          <t>NORSJÖ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56715-2022</t>
        </is>
      </c>
      <c r="B278" s="1" t="n">
        <v>44893</v>
      </c>
      <c r="C278" s="1" t="n">
        <v>45710</v>
      </c>
      <c r="D278" t="inlineStr">
        <is>
          <t>VÄSTERBOTTENS LÄN</t>
        </is>
      </c>
      <c r="E278" t="inlineStr">
        <is>
          <t>NORSJÖ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58047-2022</t>
        </is>
      </c>
      <c r="B279" s="1" t="n">
        <v>44900</v>
      </c>
      <c r="C279" s="1" t="n">
        <v>45710</v>
      </c>
      <c r="D279" t="inlineStr">
        <is>
          <t>VÄSTERBOTTENS LÄN</t>
        </is>
      </c>
      <c r="E279" t="inlineStr">
        <is>
          <t>NORSJÖ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59135-2022</t>
        </is>
      </c>
      <c r="B280" s="1" t="n">
        <v>44904</v>
      </c>
      <c r="C280" s="1" t="n">
        <v>45710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59131-2022</t>
        </is>
      </c>
      <c r="B281" s="1" t="n">
        <v>44904</v>
      </c>
      <c r="C281" s="1" t="n">
        <v>45710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59420-2022</t>
        </is>
      </c>
      <c r="B282" s="1" t="n">
        <v>44907</v>
      </c>
      <c r="C282" s="1" t="n">
        <v>45710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60346-2022</t>
        </is>
      </c>
      <c r="B283" s="1" t="n">
        <v>44910</v>
      </c>
      <c r="C283" s="1" t="n">
        <v>45710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60991-2022</t>
        </is>
      </c>
      <c r="B284" s="1" t="n">
        <v>44914</v>
      </c>
      <c r="C284" s="1" t="n">
        <v>45710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61033-2022</t>
        </is>
      </c>
      <c r="B285" s="1" t="n">
        <v>44914</v>
      </c>
      <c r="C285" s="1" t="n">
        <v>45710</v>
      </c>
      <c r="D285" t="inlineStr">
        <is>
          <t>VÄSTERBOTTENS LÄN</t>
        </is>
      </c>
      <c r="E285" t="inlineStr">
        <is>
          <t>NORSJÖ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61035-2022</t>
        </is>
      </c>
      <c r="B286" s="1" t="n">
        <v>44914</v>
      </c>
      <c r="C286" s="1" t="n">
        <v>45710</v>
      </c>
      <c r="D286" t="inlineStr">
        <is>
          <t>VÄSTERBOTTENS LÄN</t>
        </is>
      </c>
      <c r="E286" t="inlineStr">
        <is>
          <t>NORSJÖ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61115-2022</t>
        </is>
      </c>
      <c r="B287" s="1" t="n">
        <v>44915</v>
      </c>
      <c r="C287" s="1" t="n">
        <v>45710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61152-2022</t>
        </is>
      </c>
      <c r="B288" s="1" t="n">
        <v>44915</v>
      </c>
      <c r="C288" s="1" t="n">
        <v>45710</v>
      </c>
      <c r="D288" t="inlineStr">
        <is>
          <t>VÄSTERBOTTENS LÄN</t>
        </is>
      </c>
      <c r="E288" t="inlineStr">
        <is>
          <t>NORSJÖ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61542-2022</t>
        </is>
      </c>
      <c r="B289" s="1" t="n">
        <v>44916</v>
      </c>
      <c r="C289" s="1" t="n">
        <v>45710</v>
      </c>
      <c r="D289" t="inlineStr">
        <is>
          <t>VÄSTERBOTTENS LÄN</t>
        </is>
      </c>
      <c r="E289" t="inlineStr">
        <is>
          <t>NORSJÖ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61593-2022</t>
        </is>
      </c>
      <c r="B290" s="1" t="n">
        <v>44916</v>
      </c>
      <c r="C290" s="1" t="n">
        <v>45710</v>
      </c>
      <c r="D290" t="inlineStr">
        <is>
          <t>VÄSTERBOTTENS LÄN</t>
        </is>
      </c>
      <c r="E290" t="inlineStr">
        <is>
          <t>NORSJÖ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62656-2022</t>
        </is>
      </c>
      <c r="B291" s="1" t="n">
        <v>44917</v>
      </c>
      <c r="C291" s="1" t="n">
        <v>45710</v>
      </c>
      <c r="D291" t="inlineStr">
        <is>
          <t>VÄSTERBOTTENS LÄN</t>
        </is>
      </c>
      <c r="E291" t="inlineStr">
        <is>
          <t>NORSJÖ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471-2023</t>
        </is>
      </c>
      <c r="B292" s="1" t="n">
        <v>44929</v>
      </c>
      <c r="C292" s="1" t="n">
        <v>45710</v>
      </c>
      <c r="D292" t="inlineStr">
        <is>
          <t>VÄSTERBOTTENS LÄN</t>
        </is>
      </c>
      <c r="E292" t="inlineStr">
        <is>
          <t>NORSJÖ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470-2023</t>
        </is>
      </c>
      <c r="B293" s="1" t="n">
        <v>44929</v>
      </c>
      <c r="C293" s="1" t="n">
        <v>45710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881-2023</t>
        </is>
      </c>
      <c r="B294" s="1" t="n">
        <v>44931</v>
      </c>
      <c r="C294" s="1" t="n">
        <v>45710</v>
      </c>
      <c r="D294" t="inlineStr">
        <is>
          <t>VÄSTERBOTTENS LÄN</t>
        </is>
      </c>
      <c r="E294" t="inlineStr">
        <is>
          <t>NORSJÖ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2394-2023</t>
        </is>
      </c>
      <c r="B295" s="1" t="n">
        <v>44942</v>
      </c>
      <c r="C295" s="1" t="n">
        <v>45710</v>
      </c>
      <c r="D295" t="inlineStr">
        <is>
          <t>VÄSTERBOTTENS LÄN</t>
        </is>
      </c>
      <c r="E295" t="inlineStr">
        <is>
          <t>NORSJÖ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2749-2023</t>
        </is>
      </c>
      <c r="B296" s="1" t="n">
        <v>44943</v>
      </c>
      <c r="C296" s="1" t="n">
        <v>45710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2705-2023</t>
        </is>
      </c>
      <c r="B297" s="1" t="n">
        <v>44944</v>
      </c>
      <c r="C297" s="1" t="n">
        <v>45710</v>
      </c>
      <c r="D297" t="inlineStr">
        <is>
          <t>VÄSTERBOTTENS LÄN</t>
        </is>
      </c>
      <c r="E297" t="inlineStr">
        <is>
          <t>NORSJÖ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2642-2023</t>
        </is>
      </c>
      <c r="B298" s="1" t="n">
        <v>44944</v>
      </c>
      <c r="C298" s="1" t="n">
        <v>45710</v>
      </c>
      <c r="D298" t="inlineStr">
        <is>
          <t>VÄSTERBOTTENS LÄN</t>
        </is>
      </c>
      <c r="E298" t="inlineStr">
        <is>
          <t>NORSJÖ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2909-2023</t>
        </is>
      </c>
      <c r="B299" s="1" t="n">
        <v>44945</v>
      </c>
      <c r="C299" s="1" t="n">
        <v>45710</v>
      </c>
      <c r="D299" t="inlineStr">
        <is>
          <t>VÄSTERBOTTENS LÄN</t>
        </is>
      </c>
      <c r="E299" t="inlineStr">
        <is>
          <t>NORSJÖ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3612-2023</t>
        </is>
      </c>
      <c r="B300" s="1" t="n">
        <v>44946</v>
      </c>
      <c r="C300" s="1" t="n">
        <v>45710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4297-2023</t>
        </is>
      </c>
      <c r="B301" s="1" t="n">
        <v>44953</v>
      </c>
      <c r="C301" s="1" t="n">
        <v>45710</v>
      </c>
      <c r="D301" t="inlineStr">
        <is>
          <t>VÄSTERBOTTENS LÄN</t>
        </is>
      </c>
      <c r="E301" t="inlineStr">
        <is>
          <t>NORSJÖ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5143-2023</t>
        </is>
      </c>
      <c r="B302" s="1" t="n">
        <v>44958</v>
      </c>
      <c r="C302" s="1" t="n">
        <v>45710</v>
      </c>
      <c r="D302" t="inlineStr">
        <is>
          <t>VÄSTERBOTTENS LÄN</t>
        </is>
      </c>
      <c r="E302" t="inlineStr">
        <is>
          <t>NORSJÖ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5144-2023</t>
        </is>
      </c>
      <c r="B303" s="1" t="n">
        <v>44958</v>
      </c>
      <c r="C303" s="1" t="n">
        <v>45710</v>
      </c>
      <c r="D303" t="inlineStr">
        <is>
          <t>VÄSTERBOTTENS LÄN</t>
        </is>
      </c>
      <c r="E303" t="inlineStr">
        <is>
          <t>NORSJÖ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5790-2023</t>
        </is>
      </c>
      <c r="B304" s="1" t="n">
        <v>44963</v>
      </c>
      <c r="C304" s="1" t="n">
        <v>45710</v>
      </c>
      <c r="D304" t="inlineStr">
        <is>
          <t>VÄSTERBOTTENS LÄN</t>
        </is>
      </c>
      <c r="E304" t="inlineStr">
        <is>
          <t>NORSJÖ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5785-2023</t>
        </is>
      </c>
      <c r="B305" s="1" t="n">
        <v>44963</v>
      </c>
      <c r="C305" s="1" t="n">
        <v>45710</v>
      </c>
      <c r="D305" t="inlineStr">
        <is>
          <t>VÄSTERBOTTENS LÄN</t>
        </is>
      </c>
      <c r="E305" t="inlineStr">
        <is>
          <t>NORSJÖ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6619-2023</t>
        </is>
      </c>
      <c r="B306" s="1" t="n">
        <v>44963</v>
      </c>
      <c r="C306" s="1" t="n">
        <v>45710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8045-2023</t>
        </is>
      </c>
      <c r="B307" s="1" t="n">
        <v>44963</v>
      </c>
      <c r="C307" s="1" t="n">
        <v>45710</v>
      </c>
      <c r="D307" t="inlineStr">
        <is>
          <t>VÄSTERBOTTENS LÄN</t>
        </is>
      </c>
      <c r="E307" t="inlineStr">
        <is>
          <t>NORSJÖ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6444-2023</t>
        </is>
      </c>
      <c r="B308" s="1" t="n">
        <v>44965</v>
      </c>
      <c r="C308" s="1" t="n">
        <v>45710</v>
      </c>
      <c r="D308" t="inlineStr">
        <is>
          <t>VÄSTERBOTTENS LÄN</t>
        </is>
      </c>
      <c r="E308" t="inlineStr">
        <is>
          <t>NORSJÖ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8352-2023</t>
        </is>
      </c>
      <c r="B309" s="1" t="n">
        <v>44977</v>
      </c>
      <c r="C309" s="1" t="n">
        <v>45710</v>
      </c>
      <c r="D309" t="inlineStr">
        <is>
          <t>VÄSTERBOTTENS LÄN</t>
        </is>
      </c>
      <c r="E309" t="inlineStr">
        <is>
          <t>NORSJÖ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8861-2023</t>
        </is>
      </c>
      <c r="B310" s="1" t="n">
        <v>44978</v>
      </c>
      <c r="C310" s="1" t="n">
        <v>45710</v>
      </c>
      <c r="D310" t="inlineStr">
        <is>
          <t>VÄSTERBOTTENS LÄN</t>
        </is>
      </c>
      <c r="E310" t="inlineStr">
        <is>
          <t>NORSJÖ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10170-2023</t>
        </is>
      </c>
      <c r="B311" s="1" t="n">
        <v>44986</v>
      </c>
      <c r="C311" s="1" t="n">
        <v>45710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31.4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11765-2023</t>
        </is>
      </c>
      <c r="B312" s="1" t="n">
        <v>44993</v>
      </c>
      <c r="C312" s="1" t="n">
        <v>45710</v>
      </c>
      <c r="D312" t="inlineStr">
        <is>
          <t>VÄSTERBOTTENS LÄN</t>
        </is>
      </c>
      <c r="E312" t="inlineStr">
        <is>
          <t>NORSJÖ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12222-2023</t>
        </is>
      </c>
      <c r="B313" s="1" t="n">
        <v>44998</v>
      </c>
      <c r="C313" s="1" t="n">
        <v>45710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12657-2023</t>
        </is>
      </c>
      <c r="B314" s="1" t="n">
        <v>44999</v>
      </c>
      <c r="C314" s="1" t="n">
        <v>45710</v>
      </c>
      <c r="D314" t="inlineStr">
        <is>
          <t>VÄSTERBOTTENS LÄN</t>
        </is>
      </c>
      <c r="E314" t="inlineStr">
        <is>
          <t>NORSJÖ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12765-2023</t>
        </is>
      </c>
      <c r="B315" s="1" t="n">
        <v>44999</v>
      </c>
      <c r="C315" s="1" t="n">
        <v>45710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14226-2023</t>
        </is>
      </c>
      <c r="B316" s="1" t="n">
        <v>45009</v>
      </c>
      <c r="C316" s="1" t="n">
        <v>45710</v>
      </c>
      <c r="D316" t="inlineStr">
        <is>
          <t>VÄSTERBOTTENS LÄN</t>
        </is>
      </c>
      <c r="E316" t="inlineStr">
        <is>
          <t>NORSJÖ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15198-2023</t>
        </is>
      </c>
      <c r="B317" s="1" t="n">
        <v>45016</v>
      </c>
      <c r="C317" s="1" t="n">
        <v>45710</v>
      </c>
      <c r="D317" t="inlineStr">
        <is>
          <t>VÄSTERBOTTENS LÄN</t>
        </is>
      </c>
      <c r="E317" t="inlineStr">
        <is>
          <t>NORSJÖ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15395-2023</t>
        </is>
      </c>
      <c r="B318" s="1" t="n">
        <v>45019</v>
      </c>
      <c r="C318" s="1" t="n">
        <v>45710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15540-2023</t>
        </is>
      </c>
      <c r="B319" s="1" t="n">
        <v>45020</v>
      </c>
      <c r="C319" s="1" t="n">
        <v>45710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16608-2023</t>
        </is>
      </c>
      <c r="B320" s="1" t="n">
        <v>45027</v>
      </c>
      <c r="C320" s="1" t="n">
        <v>45710</v>
      </c>
      <c r="D320" t="inlineStr">
        <is>
          <t>VÄSTERBOTTENS LÄN</t>
        </is>
      </c>
      <c r="E320" t="inlineStr">
        <is>
          <t>NORSJÖ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16839-2023</t>
        </is>
      </c>
      <c r="B321" s="1" t="n">
        <v>45033</v>
      </c>
      <c r="C321" s="1" t="n">
        <v>45710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17700-2023</t>
        </is>
      </c>
      <c r="B322" s="1" t="n">
        <v>45037</v>
      </c>
      <c r="C322" s="1" t="n">
        <v>45710</v>
      </c>
      <c r="D322" t="inlineStr">
        <is>
          <t>VÄSTERBOTTENS LÄN</t>
        </is>
      </c>
      <c r="E322" t="inlineStr">
        <is>
          <t>NORSJÖ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17914-2023</t>
        </is>
      </c>
      <c r="B323" s="1" t="n">
        <v>45040</v>
      </c>
      <c r="C323" s="1" t="n">
        <v>45710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17907-2023</t>
        </is>
      </c>
      <c r="B324" s="1" t="n">
        <v>45040</v>
      </c>
      <c r="C324" s="1" t="n">
        <v>45710</v>
      </c>
      <c r="D324" t="inlineStr">
        <is>
          <t>VÄSTERBOTTENS LÄN</t>
        </is>
      </c>
      <c r="E324" t="inlineStr">
        <is>
          <t>NORSJÖ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18974-2023</t>
        </is>
      </c>
      <c r="B325" s="1" t="n">
        <v>45044</v>
      </c>
      <c r="C325" s="1" t="n">
        <v>45710</v>
      </c>
      <c r="D325" t="inlineStr">
        <is>
          <t>VÄSTERBOTTENS LÄN</t>
        </is>
      </c>
      <c r="E325" t="inlineStr">
        <is>
          <t>NORSJÖ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19421-2023</t>
        </is>
      </c>
      <c r="B326" s="1" t="n">
        <v>45050</v>
      </c>
      <c r="C326" s="1" t="n">
        <v>45710</v>
      </c>
      <c r="D326" t="inlineStr">
        <is>
          <t>VÄSTERBOTTENS LÄN</t>
        </is>
      </c>
      <c r="E326" t="inlineStr">
        <is>
          <t>NORSJÖ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19646-2023</t>
        </is>
      </c>
      <c r="B327" s="1" t="n">
        <v>45049</v>
      </c>
      <c r="C327" s="1" t="n">
        <v>45710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Kommuner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19423-2023</t>
        </is>
      </c>
      <c r="B328" s="1" t="n">
        <v>45050</v>
      </c>
      <c r="C328" s="1" t="n">
        <v>45710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45710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45710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45710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45710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45710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45710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45710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45710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45710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45710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45710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45710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45710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45710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45710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45710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45710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45710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45710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45710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45710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45710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45710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45710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45710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45710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45710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45710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45710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45710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45710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45710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45710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45710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45710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45710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45710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45710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45710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45710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45710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45710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45710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45710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45710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45710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45710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45710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45710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45710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45710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45710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45710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45710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45710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45710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45710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45710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45710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45710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45710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45710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45710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45710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45710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45710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45710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45710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45710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45710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45710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45710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45710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45710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45710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45710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45710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45710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45710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45710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45710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45710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45710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45710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45710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45710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45710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45710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45710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45710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45710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45710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45710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45710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45710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45710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45710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45710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45710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45710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45710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45710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45710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45710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45710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45710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45710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45710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45710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45710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45710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45710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45710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45710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45710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45710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45710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45710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45710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45710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45710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45710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45710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45710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45710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45710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45710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45710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45710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45710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45710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45710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45710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45710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45710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45710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45710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45710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45710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45710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45710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45710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45710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45710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45710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45710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45710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45710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45710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45710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45710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45710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45710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45710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45710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45710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45710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45710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45710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45710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45710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45710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45710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45710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45710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45710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45710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45710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45710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45710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45710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45710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45710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45710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45710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45710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45710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45710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45710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45710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45710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45710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45710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45710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45710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45710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45710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45710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45710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45710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45710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45710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45710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45710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45710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45710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45710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45710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45710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45710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45710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45710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45710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45710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45710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45710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45710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45710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45710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45710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45710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45710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45710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45710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45710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45710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45710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45710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45710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45710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45710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45710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45710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45710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45710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45710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45710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45710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45710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45710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45710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45710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45710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45710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45710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45710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45710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45710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45710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45710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45710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45710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45710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45710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45710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45710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45710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45710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45710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45710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45710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45710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45710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45710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45710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45710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45710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45710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45710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45710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45710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45710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45710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45710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45710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45710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45710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45710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45710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45710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45710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45710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45710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45710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45710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45710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45710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45710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45710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45710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45710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45710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45710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45710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45710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45710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45710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45710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45710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45710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45710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45710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45710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45710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45710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45710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45710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45710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45710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45710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45710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45710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45710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45710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45710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45710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45710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45710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45710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45710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45710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45710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45710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45710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45710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45710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45710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45710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45710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45710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45710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45710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45710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45710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45710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45710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45710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45710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45710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45710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45710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45710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45710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45710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45710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45710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45710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45710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45710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45710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45710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45710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45710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45710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45710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45710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45710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45710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45710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45710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45710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45710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45710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45710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45710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45710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45710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45710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45710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45710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45710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45710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45710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45710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45710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45710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45710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45710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45710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45710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45710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45710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45710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45710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45710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45710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45710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45710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45710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45710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45710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45710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45710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45710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45710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45710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45710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45710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45710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45710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45710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45710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45710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45710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45710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45710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45710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45710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45710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45710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45710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45710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45710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45710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45710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45710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45710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45710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45710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45710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45710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45710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45710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45710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45710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45710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45710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45710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45710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45710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45710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45710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45710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45710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45710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45710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45710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45710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45710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45710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45710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45710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45710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45710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45710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45710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45710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45710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45710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45710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45710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45710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45710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45710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45710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45710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45710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45710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45710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45710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45710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45710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45710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45710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45710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45710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45710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45710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45710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45710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45710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45710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45710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45710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45710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45710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45710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45710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45710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45710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45710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45710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45710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45710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45710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45710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45710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45710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45710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45710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45710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45710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45710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45710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45710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45710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45710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45710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45710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45710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45710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45710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45710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45710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45710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45710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45710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45710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45710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45710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45710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45710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45710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45710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45710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45710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45710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45710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45710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45710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45710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45710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45710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45710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45710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45710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45710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45710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45710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45710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45710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45710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45710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45710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45710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45710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45710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45710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45710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45710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45710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45710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45710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45710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45710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45710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45710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45710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45710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45710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45710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45710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45710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45710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45710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45710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45710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45710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45710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45710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45710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45710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45710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45710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45710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45710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45710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45710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45710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45710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45710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45710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45710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45710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45710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45710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45710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45710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45710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45710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45710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45710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45710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45710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45710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45710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45710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45710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45710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45710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45710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45710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45710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45710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45710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45710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45710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45710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45710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45710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45710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45710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45710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45710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45710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45710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45710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45710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45710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45710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45710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45710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45710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45710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45710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45710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45710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45710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45710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45710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45710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45710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45710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45710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45710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45710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45710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45710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45710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45710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45710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45710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45710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45710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45710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45710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45710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45710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45710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45710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45710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45710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45710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45710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45710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45710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45710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45710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45710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45710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45710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45710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45710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45710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45710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45710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45710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45710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45710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45710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45710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45710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45710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45710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45710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45710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45710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45710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8159-2025</t>
        </is>
      </c>
      <c r="B987" s="1" t="n">
        <v>45708</v>
      </c>
      <c r="C987" s="1" t="n">
        <v>45710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2025-02-22T16:17:53Z</dcterms:created>
  <dcterms:modified xmlns:dcterms="http://purl.org/dc/terms/" xmlns:xsi="http://www.w3.org/2001/XMLSchema-instance" xsi:type="dcterms:W3CDTF">2025-02-22T16:17:54Z</dcterms:modified>
</cp:coreProperties>
</file>