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45638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45638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45638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45638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45638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45638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45638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45638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45638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45638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45638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45638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45638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47450-2024</t>
        </is>
      </c>
      <c r="B15" s="1" t="n">
        <v>45587</v>
      </c>
      <c r="C15" s="1" t="n">
        <v>45638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</v>
      </c>
      <c r="C16" s="1" t="n">
        <v>45638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51644-2021</t>
        </is>
      </c>
      <c r="B17" s="1" t="n">
        <v>44462</v>
      </c>
      <c r="C17" s="1" t="n">
        <v>45638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Bårdlav
Stuplav</t>
        </is>
      </c>
      <c r="S17">
        <f>HYPERLINK("https://klasma.github.io/Logging_2417/artfynd/A 51644-2021 artfynd.xlsx", "A 51644-2021")</f>
        <v/>
      </c>
      <c r="T17">
        <f>HYPERLINK("https://klasma.github.io/Logging_2417/kartor/A 51644-2021 karta.png", "A 51644-2021")</f>
        <v/>
      </c>
      <c r="V17">
        <f>HYPERLINK("https://klasma.github.io/Logging_2417/klagomål/A 51644-2021 FSC-klagomål.docx", "A 51644-2021")</f>
        <v/>
      </c>
      <c r="W17">
        <f>HYPERLINK("https://klasma.github.io/Logging_2417/klagomålsmail/A 51644-2021 FSC-klagomål mail.docx", "A 51644-2021")</f>
        <v/>
      </c>
      <c r="X17">
        <f>HYPERLINK("https://klasma.github.io/Logging_2417/tillsyn/A 51644-2021 tillsynsbegäran.docx", "A 51644-2021")</f>
        <v/>
      </c>
      <c r="Y17">
        <f>HYPERLINK("https://klasma.github.io/Logging_2417/tillsynsmail/A 51644-2021 tillsynsbegäran mail.docx", "A 51644-2021")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45638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</v>
      </c>
      <c r="C19" s="1" t="n">
        <v>45638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45638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45638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45638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45638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45638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45638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45638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45638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45638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45638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45638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45638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45638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45638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45638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45638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45638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45638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45638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45638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45638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45638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45638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45638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45638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45638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45638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45638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45638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45638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45638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45638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45638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45638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45638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45638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45638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45638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45638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45638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45638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45638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45638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45638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45638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45638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45638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45638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45638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45638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45638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45638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45638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45638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45638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45638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45638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45638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45638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45638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45638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45638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45638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45638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45638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45638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45638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45638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45638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45638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45638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45638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45638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45638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45638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45638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45638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45638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45638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45638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45638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45638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45638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45638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45638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45638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45638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45638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45638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45638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45638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45638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45638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45638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45638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45638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45638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45638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45638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45638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45638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45638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45638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45638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45638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45638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45638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45638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45638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45638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45638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45638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45638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45638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45638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45638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45638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45638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45638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45638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45638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45638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45638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45638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45638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45638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45638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45638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45638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45638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45638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45638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45638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45638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45638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45638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45638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45638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45638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45638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45638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45638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45638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45638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45638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45638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45638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45638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45638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45638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45638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45638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45638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45638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45638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45638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45638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45638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45638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45638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45638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45638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45638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45638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45638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45638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45638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45638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45638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45638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45638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45638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45638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45638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45638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45638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45638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45638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45638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45638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45638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45638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45638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45638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45638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45638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45638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45638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45638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45638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45638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45638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45638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45638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45638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45638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45638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45638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45638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45638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45638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45638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45638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45638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45638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45638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45638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45638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45638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45638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45638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45638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45638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45638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45638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45638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45638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45638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45638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45638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45638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45638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45638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45638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45638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45638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45638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45638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45638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45638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45638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45638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45638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45638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45638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45638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45638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45638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45638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45638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45638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45638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45638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45638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45638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45638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45638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45638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45638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45638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45638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45638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45638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45638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45638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45638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45638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45638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45638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45638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45638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45638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45638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45638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45638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45638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45638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45638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45638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45638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45638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45638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45638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45638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45638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45638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45638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45638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45638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45638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45638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45638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45638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45638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45638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45638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45638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45638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45638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45638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45638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45638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45638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45638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45638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45638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45638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45638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45638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45638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45638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45638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45638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45638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45638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45638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45638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45638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45638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45638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45638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45638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45638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45638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45638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45638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45638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45638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45638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45638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45638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45638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45638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45638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45638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45638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45638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45638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45638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45638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45638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45638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45638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45638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45638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45638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45638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45638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45638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45638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45638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45638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45638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45638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45638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45638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45638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45638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45638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45638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45638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45638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45638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45638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45638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45638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45638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45638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45638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45638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45638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45638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45638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45638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45638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45638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45638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45638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45638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45638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45638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45638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45638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45638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45638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45638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45638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45638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45638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45638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45638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45638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45638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45638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45638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45638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45638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45638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45638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45638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45638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45638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45638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45638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45638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45638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45638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45638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45638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45638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45638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45638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45638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45638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45638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45638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45638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45638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45638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45638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45638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45638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45638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45638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45638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45638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45638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45638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45638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45638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45638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45638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45638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45638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45638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45638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45638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45638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45638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45638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45638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45638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45638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45638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45638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45638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45638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45638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45638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45638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45638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45638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45638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45638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45638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45638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45638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45638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45638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45638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45638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45638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45638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45638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45638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45638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45638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45638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45638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45638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45638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45638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45638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45638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45638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45638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45638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45638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45638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45638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45638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45638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45638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45638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45638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45638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45638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45638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45638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45638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45638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45638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45638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45638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45638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45638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45638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45638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45638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45638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45638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45638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45638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45638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45638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45638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45638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45638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45638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45638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45638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45638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45638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45638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45638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45638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45638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45638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45638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45638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45638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45638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45638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45638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45638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45638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45638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45638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45638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45638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45638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45638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45638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45638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45638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45638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45638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45638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45638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45638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45638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45638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45638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45638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45638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45638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45638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45638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45638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45638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45638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45638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45638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45638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45638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45638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45638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45638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45638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45638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45638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45638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45638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45638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45638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45638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45638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45638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45638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45638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45638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45638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45638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45638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45638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45638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45638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45638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45638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45638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45638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45638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45638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45638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45638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45638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45638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45638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45638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45638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45638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45638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45638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45638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45638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45638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45638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45638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45638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45638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45638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45638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45638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45638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45638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45638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45638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45638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45638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45638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45638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45638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45638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45638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45638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45638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45638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45638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45638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45638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45638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45638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45638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45638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45638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45638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45638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45638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45638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45638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45638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45638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45638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45638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45638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45638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45638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45638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45638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45638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45638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45638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45638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45638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45638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45638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45638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45638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45638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45638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45638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45638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45638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45638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45638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45638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45638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45638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45638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45638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45638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45638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45638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45638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45638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45638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45638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45638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45638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45638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45638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45638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45638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45638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45638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45638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45638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45638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45638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45638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45638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45638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45638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45638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45638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45638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45638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45638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45638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45638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45638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45638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45638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45638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45638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45638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45638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45638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45638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45638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45638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45638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45638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45638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45638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45638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45638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45638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45638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45638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45638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45638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45638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45638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45638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45638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45638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45638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45638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45638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45638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45638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45638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45638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45638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45638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45638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45638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45638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45638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45638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45638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45638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45638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45638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45638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45638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45638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45638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45638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45638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45638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45638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45638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45638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45638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45638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45638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45638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45638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45638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45638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45638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45638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45638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45638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45638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45638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45638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45638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45638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45638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45638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45638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45638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45638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45638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45638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45638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45638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45638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45638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45638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45638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45638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45638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45638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45638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45638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45638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45638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45638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45638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45638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45638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45638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45638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45638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45638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45638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45638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45638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45638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45638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45638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45638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45638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45638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45638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45638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45638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45638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45638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45638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45638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45638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45638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45638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45638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45638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45638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45638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45638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45638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45638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45638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45638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45638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45638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45638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45638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45638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45638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45638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45638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45638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45638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45638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45638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45638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45638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45638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45638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45638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45638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45638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45638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45638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45638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45638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45638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45638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45638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45638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45638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45638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45638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45638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45638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45638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45638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45638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45638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45638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45638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45638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45638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45638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45638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45638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45638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45638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45638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45638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45638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45638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45638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45638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45638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45638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45638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45638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45638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45638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45638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45638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45638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45638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45638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45638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45638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45638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45638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45638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45638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45638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45638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45638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45638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45638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45638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50075-2024</t>
        </is>
      </c>
      <c r="B901" s="1" t="n">
        <v>45600</v>
      </c>
      <c r="C901" s="1" t="n">
        <v>45638</v>
      </c>
      <c r="D901" t="inlineStr">
        <is>
          <t>VÄSTERBOTTENS LÄN</t>
        </is>
      </c>
      <c r="E901" t="inlineStr">
        <is>
          <t>NORSJÖ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50261-2024</t>
        </is>
      </c>
      <c r="B902" s="1" t="n">
        <v>45600</v>
      </c>
      <c r="C902" s="1" t="n">
        <v>45638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45638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50725-2024</t>
        </is>
      </c>
      <c r="B904" s="1" t="n">
        <v>45602</v>
      </c>
      <c r="C904" s="1" t="n">
        <v>45638</v>
      </c>
      <c r="D904" t="inlineStr">
        <is>
          <t>VÄSTERBOTTENS LÄN</t>
        </is>
      </c>
      <c r="E904" t="inlineStr">
        <is>
          <t>NORSJÖ</t>
        </is>
      </c>
      <c r="G904" t="n">
        <v>13.5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50724-2024</t>
        </is>
      </c>
      <c r="B905" s="1" t="n">
        <v>45602</v>
      </c>
      <c r="C905" s="1" t="n">
        <v>45638</v>
      </c>
      <c r="D905" t="inlineStr">
        <is>
          <t>VÄSTERBOTTENS LÄN</t>
        </is>
      </c>
      <c r="E905" t="inlineStr">
        <is>
          <t>NORSJÖ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45638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51352-2024</t>
        </is>
      </c>
      <c r="B907" s="1" t="n">
        <v>45604</v>
      </c>
      <c r="C907" s="1" t="n">
        <v>45638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51407-2024</t>
        </is>
      </c>
      <c r="B908" s="1" t="n">
        <v>45604</v>
      </c>
      <c r="C908" s="1" t="n">
        <v>45638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51548-2024</t>
        </is>
      </c>
      <c r="B909" s="1" t="n">
        <v>45604</v>
      </c>
      <c r="C909" s="1" t="n">
        <v>45638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51401-2024</t>
        </is>
      </c>
      <c r="B910" s="1" t="n">
        <v>45604</v>
      </c>
      <c r="C910" s="1" t="n">
        <v>45638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52045-2024</t>
        </is>
      </c>
      <c r="B911" s="1" t="n">
        <v>45604</v>
      </c>
      <c r="C911" s="1" t="n">
        <v>45638</v>
      </c>
      <c r="D911" t="inlineStr">
        <is>
          <t>VÄSTERBOTTENS LÄN</t>
        </is>
      </c>
      <c r="E911" t="inlineStr">
        <is>
          <t>NORSJÖ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45638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45638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52538-2024</t>
        </is>
      </c>
      <c r="B914" s="1" t="n">
        <v>45609</v>
      </c>
      <c r="C914" s="1" t="n">
        <v>45638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52568-2024</t>
        </is>
      </c>
      <c r="B915" s="1" t="n">
        <v>45609</v>
      </c>
      <c r="C915" s="1" t="n">
        <v>45638</v>
      </c>
      <c r="D915" t="inlineStr">
        <is>
          <t>VÄSTERBOTTENS LÄN</t>
        </is>
      </c>
      <c r="E915" t="inlineStr">
        <is>
          <t>NORSJÖ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52822-2024</t>
        </is>
      </c>
      <c r="B916" s="1" t="n">
        <v>45610</v>
      </c>
      <c r="C916" s="1" t="n">
        <v>45638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45638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52998-2024</t>
        </is>
      </c>
      <c r="B918" s="1" t="n">
        <v>45611</v>
      </c>
      <c r="C918" s="1" t="n">
        <v>45638</v>
      </c>
      <c r="D918" t="inlineStr">
        <is>
          <t>VÄSTERBOTTENS LÄN</t>
        </is>
      </c>
      <c r="E918" t="inlineStr">
        <is>
          <t>NORSJÖ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45638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53547-2024</t>
        </is>
      </c>
      <c r="B920" s="1" t="n">
        <v>45614</v>
      </c>
      <c r="C920" s="1" t="n">
        <v>45638</v>
      </c>
      <c r="D920" t="inlineStr">
        <is>
          <t>VÄSTERBOTTENS LÄN</t>
        </is>
      </c>
      <c r="E920" t="inlineStr">
        <is>
          <t>NORSJÖ</t>
        </is>
      </c>
      <c r="G920" t="n">
        <v>8.6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53442-2024</t>
        </is>
      </c>
      <c r="B921" s="1" t="n">
        <v>45614</v>
      </c>
      <c r="C921" s="1" t="n">
        <v>45638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53576-2024</t>
        </is>
      </c>
      <c r="B922" s="1" t="n">
        <v>45614</v>
      </c>
      <c r="C922" s="1" t="n">
        <v>45638</v>
      </c>
      <c r="D922" t="inlineStr">
        <is>
          <t>VÄSTERBOTTENS LÄN</t>
        </is>
      </c>
      <c r="E922" t="inlineStr">
        <is>
          <t>NORSJÖ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53457-2024</t>
        </is>
      </c>
      <c r="B923" s="1" t="n">
        <v>45614</v>
      </c>
      <c r="C923" s="1" t="n">
        <v>45638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45638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45638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45638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54712-2024</t>
        </is>
      </c>
      <c r="B927" s="1" t="n">
        <v>45617</v>
      </c>
      <c r="C927" s="1" t="n">
        <v>45638</v>
      </c>
      <c r="D927" t="inlineStr">
        <is>
          <t>VÄSTERBOTTENS LÄN</t>
        </is>
      </c>
      <c r="E927" t="inlineStr">
        <is>
          <t>NORSJÖ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54709-2024</t>
        </is>
      </c>
      <c r="B928" s="1" t="n">
        <v>45617</v>
      </c>
      <c r="C928" s="1" t="n">
        <v>45638</v>
      </c>
      <c r="D928" t="inlineStr">
        <is>
          <t>VÄSTERBOTTENS LÄN</t>
        </is>
      </c>
      <c r="E928" t="inlineStr">
        <is>
          <t>NORSJÖ</t>
        </is>
      </c>
      <c r="G928" t="n">
        <v>6.8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55157-2024</t>
        </is>
      </c>
      <c r="B929" s="1" t="n">
        <v>45618</v>
      </c>
      <c r="C929" s="1" t="n">
        <v>45638</v>
      </c>
      <c r="D929" t="inlineStr">
        <is>
          <t>VÄSTERBOTTENS LÄN</t>
        </is>
      </c>
      <c r="E929" t="inlineStr">
        <is>
          <t>NORSJÖ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55150-2024</t>
        </is>
      </c>
      <c r="B930" s="1" t="n">
        <v>45618</v>
      </c>
      <c r="C930" s="1" t="n">
        <v>45638</v>
      </c>
      <c r="D930" t="inlineStr">
        <is>
          <t>VÄSTERBOTTENS LÄN</t>
        </is>
      </c>
      <c r="E930" t="inlineStr">
        <is>
          <t>NORSJÖ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54902-2024</t>
        </is>
      </c>
      <c r="B931" s="1" t="n">
        <v>45618</v>
      </c>
      <c r="C931" s="1" t="n">
        <v>45638</v>
      </c>
      <c r="D931" t="inlineStr">
        <is>
          <t>VÄSTERBOTTENS LÄN</t>
        </is>
      </c>
      <c r="E931" t="inlineStr">
        <is>
          <t>NORSJÖ</t>
        </is>
      </c>
      <c r="F931" t="inlineStr">
        <is>
          <t>Holmen skog AB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45638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55264-2024</t>
        </is>
      </c>
      <c r="B933" s="1" t="n">
        <v>45620</v>
      </c>
      <c r="C933" s="1" t="n">
        <v>45638</v>
      </c>
      <c r="D933" t="inlineStr">
        <is>
          <t>VÄSTERBOTTENS LÄN</t>
        </is>
      </c>
      <c r="E933" t="inlineStr">
        <is>
          <t>NORSJÖ</t>
        </is>
      </c>
      <c r="G933" t="n">
        <v>6.5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55213-2024</t>
        </is>
      </c>
      <c r="B934" s="1" t="n">
        <v>45620</v>
      </c>
      <c r="C934" s="1" t="n">
        <v>45638</v>
      </c>
      <c r="D934" t="inlineStr">
        <is>
          <t>VÄSTERBOTTENS LÄN</t>
        </is>
      </c>
      <c r="E934" t="inlineStr">
        <is>
          <t>NORSJÖ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55220-2024</t>
        </is>
      </c>
      <c r="B935" s="1" t="n">
        <v>45620</v>
      </c>
      <c r="C935" s="1" t="n">
        <v>45638</v>
      </c>
      <c r="D935" t="inlineStr">
        <is>
          <t>VÄSTERBOTTENS LÄN</t>
        </is>
      </c>
      <c r="E935" t="inlineStr">
        <is>
          <t>NORSJÖ</t>
        </is>
      </c>
      <c r="G935" t="n">
        <v>10.6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55133-2024</t>
        </is>
      </c>
      <c r="B936" s="1" t="n">
        <v>45621</v>
      </c>
      <c r="C936" s="1" t="n">
        <v>45638</v>
      </c>
      <c r="D936" t="inlineStr">
        <is>
          <t>VÄSTERBOTTENS LÄN</t>
        </is>
      </c>
      <c r="E936" t="inlineStr">
        <is>
          <t>NORSJÖ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55310-2024</t>
        </is>
      </c>
      <c r="B937" s="1" t="n">
        <v>45621</v>
      </c>
      <c r="C937" s="1" t="n">
        <v>45638</v>
      </c>
      <c r="D937" t="inlineStr">
        <is>
          <t>VÄSTERBOTTENS LÄN</t>
        </is>
      </c>
      <c r="E937" t="inlineStr">
        <is>
          <t>NORSJÖ</t>
        </is>
      </c>
      <c r="F937" t="inlineStr">
        <is>
          <t>Sveaskog</t>
        </is>
      </c>
      <c r="G937" t="n">
        <v>12.3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55039-2024</t>
        </is>
      </c>
      <c r="B938" s="1" t="n">
        <v>45621</v>
      </c>
      <c r="C938" s="1" t="n">
        <v>45638</v>
      </c>
      <c r="D938" t="inlineStr">
        <is>
          <t>VÄSTERBOTTENS LÄN</t>
        </is>
      </c>
      <c r="E938" t="inlineStr">
        <is>
          <t>NORSJÖ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55239-2024</t>
        </is>
      </c>
      <c r="B939" s="1" t="n">
        <v>45621</v>
      </c>
      <c r="C939" s="1" t="n">
        <v>45638</v>
      </c>
      <c r="D939" t="inlineStr">
        <is>
          <t>VÄSTERBOTTENS LÄN</t>
        </is>
      </c>
      <c r="E939" t="inlineStr">
        <is>
          <t>NORSJÖ</t>
        </is>
      </c>
      <c r="F939" t="inlineStr">
        <is>
          <t>Holmen skog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45638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45638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55821-2024</t>
        </is>
      </c>
      <c r="B942" s="1" t="n">
        <v>45623</v>
      </c>
      <c r="C942" s="1" t="n">
        <v>45638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55929-2024</t>
        </is>
      </c>
      <c r="B943" s="1" t="n">
        <v>45623</v>
      </c>
      <c r="C943" s="1" t="n">
        <v>45638</v>
      </c>
      <c r="D943" t="inlineStr">
        <is>
          <t>VÄSTERBOTTENS LÄN</t>
        </is>
      </c>
      <c r="E943" t="inlineStr">
        <is>
          <t>NORSJÖ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55936-2024</t>
        </is>
      </c>
      <c r="B944" s="1" t="n">
        <v>45623</v>
      </c>
      <c r="C944" s="1" t="n">
        <v>45638</v>
      </c>
      <c r="D944" t="inlineStr">
        <is>
          <t>VÄSTERBOTTENS LÄN</t>
        </is>
      </c>
      <c r="E944" t="inlineStr">
        <is>
          <t>NORSJÖ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55919-2024</t>
        </is>
      </c>
      <c r="B945" s="1" t="n">
        <v>45623</v>
      </c>
      <c r="C945" s="1" t="n">
        <v>45638</v>
      </c>
      <c r="D945" t="inlineStr">
        <is>
          <t>VÄSTERBOTTENS LÄN</t>
        </is>
      </c>
      <c r="E945" t="inlineStr">
        <is>
          <t>NORSJÖ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55931-2024</t>
        </is>
      </c>
      <c r="B946" s="1" t="n">
        <v>45623</v>
      </c>
      <c r="C946" s="1" t="n">
        <v>45638</v>
      </c>
      <c r="D946" t="inlineStr">
        <is>
          <t>VÄSTERBOTTENS LÄN</t>
        </is>
      </c>
      <c r="E946" t="inlineStr">
        <is>
          <t>NORSJÖ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55951-2024</t>
        </is>
      </c>
      <c r="B947" s="1" t="n">
        <v>45623</v>
      </c>
      <c r="C947" s="1" t="n">
        <v>45638</v>
      </c>
      <c r="D947" t="inlineStr">
        <is>
          <t>VÄSTERBOTTENS LÄN</t>
        </is>
      </c>
      <c r="E947" t="inlineStr">
        <is>
          <t>NORSJÖ</t>
        </is>
      </c>
      <c r="G947" t="n">
        <v>11.4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56195-2024</t>
        </is>
      </c>
      <c r="B948" s="1" t="n">
        <v>45623</v>
      </c>
      <c r="C948" s="1" t="n">
        <v>45638</v>
      </c>
      <c r="D948" t="inlineStr">
        <is>
          <t>VÄSTERBOTTENS LÄN</t>
        </is>
      </c>
      <c r="E948" t="inlineStr">
        <is>
          <t>NORSJÖ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56220-2024</t>
        </is>
      </c>
      <c r="B949" s="1" t="n">
        <v>45624</v>
      </c>
      <c r="C949" s="1" t="n">
        <v>45638</v>
      </c>
      <c r="D949" t="inlineStr">
        <is>
          <t>VÄSTERBOTTENS LÄN</t>
        </is>
      </c>
      <c r="E949" t="inlineStr">
        <is>
          <t>NORSJÖ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56233-2024</t>
        </is>
      </c>
      <c r="B950" s="1" t="n">
        <v>45624</v>
      </c>
      <c r="C950" s="1" t="n">
        <v>45638</v>
      </c>
      <c r="D950" t="inlineStr">
        <is>
          <t>VÄSTERBOTTENS LÄN</t>
        </is>
      </c>
      <c r="E950" t="inlineStr">
        <is>
          <t>NORSJÖ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56488-2024</t>
        </is>
      </c>
      <c r="B951" s="1" t="n">
        <v>45625</v>
      </c>
      <c r="C951" s="1" t="n">
        <v>45638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56498-2024</t>
        </is>
      </c>
      <c r="B952" s="1" t="n">
        <v>45625</v>
      </c>
      <c r="C952" s="1" t="n">
        <v>45638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56888-2024</t>
        </is>
      </c>
      <c r="B953" s="1" t="n">
        <v>45628</v>
      </c>
      <c r="C953" s="1" t="n">
        <v>45638</v>
      </c>
      <c r="D953" t="inlineStr">
        <is>
          <t>VÄSTERBOTTENS LÄN</t>
        </is>
      </c>
      <c r="E953" t="inlineStr">
        <is>
          <t>NORSJÖ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57176-2024</t>
        </is>
      </c>
      <c r="B954" s="1" t="n">
        <v>45629</v>
      </c>
      <c r="C954" s="1" t="n">
        <v>45638</v>
      </c>
      <c r="D954" t="inlineStr">
        <is>
          <t>VÄSTERBOTTENS LÄN</t>
        </is>
      </c>
      <c r="E954" t="inlineStr">
        <is>
          <t>NORSJÖ</t>
        </is>
      </c>
      <c r="F954" t="inlineStr">
        <is>
          <t>Sveaskog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57476-2024</t>
        </is>
      </c>
      <c r="B955" s="1" t="n">
        <v>45630</v>
      </c>
      <c r="C955" s="1" t="n">
        <v>45638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23.7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57631-2024</t>
        </is>
      </c>
      <c r="B956" s="1" t="n">
        <v>45630</v>
      </c>
      <c r="C956" s="1" t="n">
        <v>45638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57642-2024</t>
        </is>
      </c>
      <c r="B957" s="1" t="n">
        <v>45630</v>
      </c>
      <c r="C957" s="1" t="n">
        <v>45638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58011-2024</t>
        </is>
      </c>
      <c r="B958" s="1" t="n">
        <v>45631</v>
      </c>
      <c r="C958" s="1" t="n">
        <v>45638</v>
      </c>
      <c r="D958" t="inlineStr">
        <is>
          <t>VÄSTERBOTTENS LÄN</t>
        </is>
      </c>
      <c r="E958" t="inlineStr">
        <is>
          <t>NORSJÖ</t>
        </is>
      </c>
      <c r="G958" t="n">
        <v>14.8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58592-2024</t>
        </is>
      </c>
      <c r="B959" s="1" t="n">
        <v>45635</v>
      </c>
      <c r="C959" s="1" t="n">
        <v>45638</v>
      </c>
      <c r="D959" t="inlineStr">
        <is>
          <t>VÄSTERBOTTENS LÄN</t>
        </is>
      </c>
      <c r="E959" t="inlineStr">
        <is>
          <t>NORSJÖ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>
      <c r="A960" t="inlineStr">
        <is>
          <t>A 59133-2024</t>
        </is>
      </c>
      <c r="B960" s="1" t="n">
        <v>45636</v>
      </c>
      <c r="C960" s="1" t="n">
        <v>45638</v>
      </c>
      <c r="D960" t="inlineStr">
        <is>
          <t>VÄSTERBOTTENS LÄN</t>
        </is>
      </c>
      <c r="E960" t="inlineStr">
        <is>
          <t>NORSJÖ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2024-12-12T15:49:53Z</dcterms:created>
  <dcterms:modified xmlns:dcterms="http://purl.org/dc/terms/" xmlns:xsi="http://www.w3.org/2001/XMLSchema-instance" xsi:type="dcterms:W3CDTF">2024-12-12T15:49:53Z</dcterms:modified>
</cp:coreProperties>
</file>