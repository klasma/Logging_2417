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45761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45761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45761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45761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45761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45761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45761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45761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45761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45761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45761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45761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45761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45761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45761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45761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45761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45761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45761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45761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45761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45761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45761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45761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45761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45761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45761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45761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45761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45761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45761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45761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45761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45761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5772-2020</t>
        </is>
      </c>
      <c r="B36" s="1" t="n">
        <v>43864</v>
      </c>
      <c r="C36" s="1" t="n">
        <v>45761</v>
      </c>
      <c r="D36" t="inlineStr">
        <is>
          <t>VÄSTERBOTTENS LÄN</t>
        </is>
      </c>
      <c r="E36" t="inlineStr">
        <is>
          <t>NORSJÖ</t>
        </is>
      </c>
      <c r="G36" t="n">
        <v>2.7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HYPERLINK("https://klasma.github.io/Logging_2417/artfynd/A 5772-2020 artfynd.xlsx", "A 5772-2020")</f>
        <v/>
      </c>
      <c r="T36">
        <f>HYPERLINK("https://klasma.github.io/Logging_2417/kartor/A 5772-2020 karta.png", "A 5772-2020")</f>
        <v/>
      </c>
      <c r="V36">
        <f>HYPERLINK("https://klasma.github.io/Logging_2417/klagomål/A 5772-2020 FSC-klagomål.docx", "A 5772-2020")</f>
        <v/>
      </c>
      <c r="W36">
        <f>HYPERLINK("https://klasma.github.io/Logging_2417/klagomålsmail/A 5772-2020 FSC-klagomål mail.docx", "A 5772-2020")</f>
        <v/>
      </c>
      <c r="X36">
        <f>HYPERLINK("https://klasma.github.io/Logging_2417/tillsyn/A 5772-2020 tillsynsbegäran.docx", "A 5772-2020")</f>
        <v/>
      </c>
      <c r="Y36">
        <f>HYPERLINK("https://klasma.github.io/Logging_2417/tillsynsmail/A 5772-2020 tillsynsbegäran mail.docx", "A 5772-2020")</f>
        <v/>
      </c>
      <c r="Z36">
        <f>HYPERLINK("https://klasma.github.io/Logging_2417/fåglar/A 5772-2020 prioriterade fågelarter.docx", "A 5772-2020")</f>
        <v/>
      </c>
    </row>
    <row r="37" ht="15" customHeight="1">
      <c r="A37" t="inlineStr">
        <is>
          <t>A 59120-2020</t>
        </is>
      </c>
      <c r="B37" s="1" t="n">
        <v>44147</v>
      </c>
      <c r="C37" s="1" t="n">
        <v>45761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19.6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HYPERLINK("https://klasma.github.io/Logging_2417/artfynd/A 59120-2020 artfynd.xlsx", "A 59120-2020")</f>
        <v/>
      </c>
      <c r="T37">
        <f>HYPERLINK("https://klasma.github.io/Logging_2417/kartor/A 59120-2020 karta.png", "A 59120-2020")</f>
        <v/>
      </c>
      <c r="V37">
        <f>HYPERLINK("https://klasma.github.io/Logging_2417/klagomål/A 59120-2020 FSC-klagomål.docx", "A 59120-2020")</f>
        <v/>
      </c>
      <c r="W37">
        <f>HYPERLINK("https://klasma.github.io/Logging_2417/klagomålsmail/A 59120-2020 FSC-klagomål mail.docx", "A 59120-2020")</f>
        <v/>
      </c>
      <c r="X37">
        <f>HYPERLINK("https://klasma.github.io/Logging_2417/tillsyn/A 59120-2020 tillsynsbegäran.docx", "A 59120-2020")</f>
        <v/>
      </c>
      <c r="Y37">
        <f>HYPERLINK("https://klasma.github.io/Logging_2417/tillsynsmail/A 59120-2020 tillsynsbegäran mail.docx", "A 59120-2020")</f>
        <v/>
      </c>
    </row>
    <row r="38" ht="15" customHeight="1">
      <c r="A38" t="inlineStr">
        <is>
          <t>A 62699-2020</t>
        </is>
      </c>
      <c r="B38" s="1" t="n">
        <v>44161</v>
      </c>
      <c r="C38" s="1" t="n">
        <v>45761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HYPERLINK("https://klasma.github.io/Logging_2417/artfynd/A 62699-2020 artfynd.xlsx", "A 62699-2020")</f>
        <v/>
      </c>
      <c r="T38">
        <f>HYPERLINK("https://klasma.github.io/Logging_2417/kartor/A 62699-2020 karta.png", "A 62699-2020")</f>
        <v/>
      </c>
      <c r="V38">
        <f>HYPERLINK("https://klasma.github.io/Logging_2417/klagomål/A 62699-2020 FSC-klagomål.docx", "A 62699-2020")</f>
        <v/>
      </c>
      <c r="W38">
        <f>HYPERLINK("https://klasma.github.io/Logging_2417/klagomålsmail/A 62699-2020 FSC-klagomål mail.docx", "A 62699-2020")</f>
        <v/>
      </c>
      <c r="X38">
        <f>HYPERLINK("https://klasma.github.io/Logging_2417/tillsyn/A 62699-2020 tillsynsbegäran.docx", "A 62699-2020")</f>
        <v/>
      </c>
      <c r="Y38">
        <f>HYPERLINK("https://klasma.github.io/Logging_2417/tillsynsmail/A 62699-2020 tillsynsbegäran mail.docx", "A 62699-2020")</f>
        <v/>
      </c>
    </row>
    <row r="39" ht="15" customHeight="1">
      <c r="A39" t="inlineStr">
        <is>
          <t>A 51640-2021</t>
        </is>
      </c>
      <c r="B39" s="1" t="n">
        <v>44462</v>
      </c>
      <c r="C39" s="1" t="n">
        <v>45761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HYPERLINK("https://klasma.github.io/Logging_2417/artfynd/A 51640-2021 artfynd.xlsx", "A 51640-2021")</f>
        <v/>
      </c>
      <c r="T39">
        <f>HYPERLINK("https://klasma.github.io/Logging_2417/kartor/A 51640-2021 karta.png", "A 51640-2021")</f>
        <v/>
      </c>
      <c r="V39">
        <f>HYPERLINK("https://klasma.github.io/Logging_2417/klagomål/A 51640-2021 FSC-klagomål.docx", "A 51640-2021")</f>
        <v/>
      </c>
      <c r="W39">
        <f>HYPERLINK("https://klasma.github.io/Logging_2417/klagomålsmail/A 51640-2021 FSC-klagomål mail.docx", "A 51640-2021")</f>
        <v/>
      </c>
      <c r="X39">
        <f>HYPERLINK("https://klasma.github.io/Logging_2417/tillsyn/A 51640-2021 tillsynsbegäran.docx", "A 51640-2021")</f>
        <v/>
      </c>
      <c r="Y39">
        <f>HYPERLINK("https://klasma.github.io/Logging_2417/tillsynsmail/A 51640-2021 tillsynsbegäran mail.docx", "A 51640-2021")</f>
        <v/>
      </c>
    </row>
    <row r="40" ht="15" customHeight="1">
      <c r="A40" t="inlineStr">
        <is>
          <t>A 50521-2023</t>
        </is>
      </c>
      <c r="B40" s="1" t="n">
        <v>45217</v>
      </c>
      <c r="C40" s="1" t="n">
        <v>45761</v>
      </c>
      <c r="D40" t="inlineStr">
        <is>
          <t>VÄSTERBOTTENS LÄN</t>
        </is>
      </c>
      <c r="E40" t="inlineStr">
        <is>
          <t>NORSJÖ</t>
        </is>
      </c>
      <c r="F40" t="inlineStr">
        <is>
          <t>SCA</t>
        </is>
      </c>
      <c r="G40" t="n">
        <v>11.9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50521-2023 artfynd.xlsx", "A 50521-2023")</f>
        <v/>
      </c>
      <c r="T40">
        <f>HYPERLINK("https://klasma.github.io/Logging_2417/kartor/A 50521-2023 karta.png", "A 50521-2023")</f>
        <v/>
      </c>
      <c r="V40">
        <f>HYPERLINK("https://klasma.github.io/Logging_2417/klagomål/A 50521-2023 FSC-klagomål.docx", "A 50521-2023")</f>
        <v/>
      </c>
      <c r="W40">
        <f>HYPERLINK("https://klasma.github.io/Logging_2417/klagomålsmail/A 50521-2023 FSC-klagomål mail.docx", "A 50521-2023")</f>
        <v/>
      </c>
      <c r="X40">
        <f>HYPERLINK("https://klasma.github.io/Logging_2417/tillsyn/A 50521-2023 tillsynsbegäran.docx", "A 50521-2023")</f>
        <v/>
      </c>
      <c r="Y40">
        <f>HYPERLINK("https://klasma.github.io/Logging_2417/tillsynsmail/A 50521-2023 tillsynsbegäran mail.docx", "A 50521-2023")</f>
        <v/>
      </c>
    </row>
    <row r="41" ht="15" customHeight="1">
      <c r="A41" t="inlineStr">
        <is>
          <t>A 8159-2024</t>
        </is>
      </c>
      <c r="B41" s="1" t="n">
        <v>45351</v>
      </c>
      <c r="C41" s="1" t="n">
        <v>45761</v>
      </c>
      <c r="D41" t="inlineStr">
        <is>
          <t>VÄSTERBOTTENS LÄN</t>
        </is>
      </c>
      <c r="E41" t="inlineStr">
        <is>
          <t>NORSJÖ</t>
        </is>
      </c>
      <c r="G41" t="n">
        <v>20.4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HYPERLINK("https://klasma.github.io/Logging_2417/artfynd/A 8159-2024 artfynd.xlsx", "A 8159-2024")</f>
        <v/>
      </c>
      <c r="T41">
        <f>HYPERLINK("https://klasma.github.io/Logging_2417/kartor/A 8159-2024 karta.png", "A 8159-2024")</f>
        <v/>
      </c>
      <c r="V41">
        <f>HYPERLINK("https://klasma.github.io/Logging_2417/klagomål/A 8159-2024 FSC-klagomål.docx", "A 8159-2024")</f>
        <v/>
      </c>
      <c r="W41">
        <f>HYPERLINK("https://klasma.github.io/Logging_2417/klagomålsmail/A 8159-2024 FSC-klagomål mail.docx", "A 8159-2024")</f>
        <v/>
      </c>
      <c r="X41">
        <f>HYPERLINK("https://klasma.github.io/Logging_2417/tillsyn/A 8159-2024 tillsynsbegäran.docx", "A 8159-2024")</f>
        <v/>
      </c>
      <c r="Y41">
        <f>HYPERLINK("https://klasma.github.io/Logging_2417/tillsynsmail/A 8159-2024 tillsynsbegäran mail.docx", "A 8159-2024")</f>
        <v/>
      </c>
    </row>
    <row r="42" ht="15" customHeight="1">
      <c r="A42" t="inlineStr">
        <is>
          <t>A 24856-2024</t>
        </is>
      </c>
      <c r="B42" s="1" t="n">
        <v>45461</v>
      </c>
      <c r="C42" s="1" t="n">
        <v>45761</v>
      </c>
      <c r="D42" t="inlineStr">
        <is>
          <t>VÄSTERBOTTENS LÄN</t>
        </is>
      </c>
      <c r="E42" t="inlineStr">
        <is>
          <t>NORSJÖ</t>
        </is>
      </c>
      <c r="F42" t="inlineStr">
        <is>
          <t>Holmen skog AB</t>
        </is>
      </c>
      <c r="G42" t="n">
        <v>9.6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HYPERLINK("https://klasma.github.io/Logging_2417/artfynd/A 24856-2024 artfynd.xlsx", "A 24856-2024")</f>
        <v/>
      </c>
      <c r="T42">
        <f>HYPERLINK("https://klasma.github.io/Logging_2417/kartor/A 24856-2024 karta.png", "A 24856-2024")</f>
        <v/>
      </c>
      <c r="V42">
        <f>HYPERLINK("https://klasma.github.io/Logging_2417/klagomål/A 24856-2024 FSC-klagomål.docx", "A 24856-2024")</f>
        <v/>
      </c>
      <c r="W42">
        <f>HYPERLINK("https://klasma.github.io/Logging_2417/klagomålsmail/A 24856-2024 FSC-klagomål mail.docx", "A 24856-2024")</f>
        <v/>
      </c>
      <c r="X42">
        <f>HYPERLINK("https://klasma.github.io/Logging_2417/tillsyn/A 24856-2024 tillsynsbegäran.docx", "A 24856-2024")</f>
        <v/>
      </c>
      <c r="Y42">
        <f>HYPERLINK("https://klasma.github.io/Logging_2417/tillsynsmail/A 24856-2024 tillsynsbegäran mail.docx", "A 24856-2024")</f>
        <v/>
      </c>
    </row>
    <row r="43" ht="15" customHeight="1">
      <c r="A43" t="inlineStr">
        <is>
          <t>A 33763-2024</t>
        </is>
      </c>
      <c r="B43" s="1" t="n">
        <v>45520</v>
      </c>
      <c r="C43" s="1" t="n">
        <v>45761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Orange taggsvamp</t>
        </is>
      </c>
      <c r="S43">
        <f>HYPERLINK("https://klasma.github.io/Logging_2417/artfynd/A 33763-2024 artfynd.xlsx", "A 33763-2024")</f>
        <v/>
      </c>
      <c r="T43">
        <f>HYPERLINK("https://klasma.github.io/Logging_2417/kartor/A 33763-2024 karta.png", "A 33763-2024")</f>
        <v/>
      </c>
      <c r="V43">
        <f>HYPERLINK("https://klasma.github.io/Logging_2417/klagomål/A 33763-2024 FSC-klagomål.docx", "A 33763-2024")</f>
        <v/>
      </c>
      <c r="W43">
        <f>HYPERLINK("https://klasma.github.io/Logging_2417/klagomålsmail/A 33763-2024 FSC-klagomål mail.docx", "A 33763-2024")</f>
        <v/>
      </c>
      <c r="X43">
        <f>HYPERLINK("https://klasma.github.io/Logging_2417/tillsyn/A 33763-2024 tillsynsbegäran.docx", "A 33763-2024")</f>
        <v/>
      </c>
      <c r="Y43">
        <f>HYPERLINK("https://klasma.github.io/Logging_2417/tillsynsmail/A 33763-2024 tillsynsbegäran mail.docx", "A 33763-2024")</f>
        <v/>
      </c>
    </row>
    <row r="44" ht="15" customHeight="1">
      <c r="A44" t="inlineStr">
        <is>
          <t>A 45438-2024</t>
        </is>
      </c>
      <c r="B44" s="1" t="n">
        <v>45576</v>
      </c>
      <c r="C44" s="1" t="n">
        <v>45761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45438-2024 artfynd.xlsx", "A 45438-2024")</f>
        <v/>
      </c>
      <c r="T44">
        <f>HYPERLINK("https://klasma.github.io/Logging_2417/kartor/A 45438-2024 karta.png", "A 45438-2024")</f>
        <v/>
      </c>
      <c r="V44">
        <f>HYPERLINK("https://klasma.github.io/Logging_2417/klagomål/A 45438-2024 FSC-klagomål.docx", "A 45438-2024")</f>
        <v/>
      </c>
      <c r="W44">
        <f>HYPERLINK("https://klasma.github.io/Logging_2417/klagomålsmail/A 45438-2024 FSC-klagomål mail.docx", "A 45438-2024")</f>
        <v/>
      </c>
      <c r="X44">
        <f>HYPERLINK("https://klasma.github.io/Logging_2417/tillsyn/A 45438-2024 tillsynsbegäran.docx", "A 45438-2024")</f>
        <v/>
      </c>
      <c r="Y44">
        <f>HYPERLINK("https://klasma.github.io/Logging_2417/tillsynsmail/A 45438-2024 tillsynsbegäran mail.docx", "A 45438-2024")</f>
        <v/>
      </c>
    </row>
    <row r="45" ht="15" customHeight="1">
      <c r="A45" t="inlineStr">
        <is>
          <t>A 46666-2024</t>
        </is>
      </c>
      <c r="B45" s="1" t="n">
        <v>45583</v>
      </c>
      <c r="C45" s="1" t="n">
        <v>45761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6.7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HYPERLINK("https://klasma.github.io/Logging_2417/artfynd/A 46666-2024 artfynd.xlsx", "A 46666-2024")</f>
        <v/>
      </c>
      <c r="T45">
        <f>HYPERLINK("https://klasma.github.io/Logging_2417/kartor/A 46666-2024 karta.png", "A 46666-2024")</f>
        <v/>
      </c>
      <c r="V45">
        <f>HYPERLINK("https://klasma.github.io/Logging_2417/klagomål/A 46666-2024 FSC-klagomål.docx", "A 46666-2024")</f>
        <v/>
      </c>
      <c r="W45">
        <f>HYPERLINK("https://klasma.github.io/Logging_2417/klagomålsmail/A 46666-2024 FSC-klagomål mail.docx", "A 46666-2024")</f>
        <v/>
      </c>
      <c r="X45">
        <f>HYPERLINK("https://klasma.github.io/Logging_2417/tillsyn/A 46666-2024 tillsynsbegäran.docx", "A 46666-2024")</f>
        <v/>
      </c>
      <c r="Y45">
        <f>HYPERLINK("https://klasma.github.io/Logging_2417/tillsynsmail/A 46666-2024 tillsynsbegäran mail.docx", "A 46666-2024")</f>
        <v/>
      </c>
    </row>
    <row r="46" ht="15" customHeight="1">
      <c r="A46" t="inlineStr">
        <is>
          <t>A 55328-2024</t>
        </is>
      </c>
      <c r="B46" s="1" t="n">
        <v>45621</v>
      </c>
      <c r="C46" s="1" t="n">
        <v>45761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HYPERLINK("https://klasma.github.io/Logging_2417/artfynd/A 55328-2024 artfynd.xlsx", "A 55328-2024")</f>
        <v/>
      </c>
      <c r="T46">
        <f>HYPERLINK("https://klasma.github.io/Logging_2417/kartor/A 55328-2024 karta.png", "A 55328-2024")</f>
        <v/>
      </c>
      <c r="V46">
        <f>HYPERLINK("https://klasma.github.io/Logging_2417/klagomål/A 55328-2024 FSC-klagomål.docx", "A 55328-2024")</f>
        <v/>
      </c>
      <c r="W46">
        <f>HYPERLINK("https://klasma.github.io/Logging_2417/klagomålsmail/A 55328-2024 FSC-klagomål mail.docx", "A 55328-2024")</f>
        <v/>
      </c>
      <c r="X46">
        <f>HYPERLINK("https://klasma.github.io/Logging_2417/tillsyn/A 55328-2024 tillsynsbegäran.docx", "A 55328-2024")</f>
        <v/>
      </c>
      <c r="Y46">
        <f>HYPERLINK("https://klasma.github.io/Logging_2417/tillsynsmail/A 55328-2024 tillsynsbegäran mail.docx", "A 55328-2024")</f>
        <v/>
      </c>
    </row>
    <row r="47" ht="15" customHeight="1">
      <c r="A47" t="inlineStr">
        <is>
          <t>A 55389-2024</t>
        </is>
      </c>
      <c r="B47" s="1" t="n">
        <v>45622</v>
      </c>
      <c r="C47" s="1" t="n">
        <v>45761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HYPERLINK("https://klasma.github.io/Logging_2417/artfynd/A 55389-2024 artfynd.xlsx", "A 55389-2024")</f>
        <v/>
      </c>
      <c r="T47">
        <f>HYPERLINK("https://klasma.github.io/Logging_2417/kartor/A 55389-2024 karta.png", "A 55389-2024")</f>
        <v/>
      </c>
      <c r="V47">
        <f>HYPERLINK("https://klasma.github.io/Logging_2417/klagomål/A 55389-2024 FSC-klagomål.docx", "A 55389-2024")</f>
        <v/>
      </c>
      <c r="W47">
        <f>HYPERLINK("https://klasma.github.io/Logging_2417/klagomålsmail/A 55389-2024 FSC-klagomål mail.docx", "A 55389-2024")</f>
        <v/>
      </c>
      <c r="X47">
        <f>HYPERLINK("https://klasma.github.io/Logging_2417/tillsyn/A 55389-2024 tillsynsbegäran.docx", "A 55389-2024")</f>
        <v/>
      </c>
      <c r="Y47">
        <f>HYPERLINK("https://klasma.github.io/Logging_2417/tillsynsmail/A 55389-2024 tillsynsbegäran mail.docx", "A 55389-2024")</f>
        <v/>
      </c>
    </row>
    <row r="48" ht="15" customHeight="1">
      <c r="A48" t="inlineStr">
        <is>
          <t>A 59767-2024</t>
        </is>
      </c>
      <c r="B48" s="1" t="n">
        <v>45639</v>
      </c>
      <c r="C48" s="1" t="n">
        <v>45761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HYPERLINK("https://klasma.github.io/Logging_2417/artfynd/A 59767-2024 artfynd.xlsx", "A 59767-2024")</f>
        <v/>
      </c>
      <c r="T48">
        <f>HYPERLINK("https://klasma.github.io/Logging_2417/kartor/A 59767-2024 karta.png", "A 59767-2024")</f>
        <v/>
      </c>
      <c r="V48">
        <f>HYPERLINK("https://klasma.github.io/Logging_2417/klagomål/A 59767-2024 FSC-klagomål.docx", "A 59767-2024")</f>
        <v/>
      </c>
      <c r="W48">
        <f>HYPERLINK("https://klasma.github.io/Logging_2417/klagomålsmail/A 59767-2024 FSC-klagomål mail.docx", "A 59767-2024")</f>
        <v/>
      </c>
      <c r="X48">
        <f>HYPERLINK("https://klasma.github.io/Logging_2417/tillsyn/A 59767-2024 tillsynsbegäran.docx", "A 59767-2024")</f>
        <v/>
      </c>
      <c r="Y48">
        <f>HYPERLINK("https://klasma.github.io/Logging_2417/tillsynsmail/A 59767-2024 tillsynsbegäran mail.docx", "A 59767-2024")</f>
        <v/>
      </c>
    </row>
    <row r="49" ht="15" customHeight="1">
      <c r="A49" t="inlineStr">
        <is>
          <t>A 18821-2019</t>
        </is>
      </c>
      <c r="B49" s="1" t="n">
        <v>43560</v>
      </c>
      <c r="C49" s="1" t="n">
        <v>45761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19007-2019</t>
        </is>
      </c>
      <c r="B50" s="1" t="n">
        <v>43563</v>
      </c>
      <c r="C50" s="1" t="n">
        <v>45761</v>
      </c>
      <c r="D50" t="inlineStr">
        <is>
          <t>VÄSTERBOTTENS LÄN</t>
        </is>
      </c>
      <c r="E50" t="inlineStr">
        <is>
          <t>NORSJÖ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20336-2019</t>
        </is>
      </c>
      <c r="B51" s="1" t="n">
        <v>43570</v>
      </c>
      <c r="C51" s="1" t="n">
        <v>45761</v>
      </c>
      <c r="D51" t="inlineStr">
        <is>
          <t>VÄSTERBOTTENS LÄN</t>
        </is>
      </c>
      <c r="E51" t="inlineStr">
        <is>
          <t>NORSJÖ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20431-2019</t>
        </is>
      </c>
      <c r="B52" s="1" t="n">
        <v>43571</v>
      </c>
      <c r="C52" s="1" t="n">
        <v>45761</v>
      </c>
      <c r="D52" t="inlineStr">
        <is>
          <t>VÄSTERBOTTENS LÄN</t>
        </is>
      </c>
      <c r="E52" t="inlineStr">
        <is>
          <t>NORSJÖ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21352-2019</t>
        </is>
      </c>
      <c r="B53" s="1" t="n">
        <v>43579</v>
      </c>
      <c r="C53" s="1" t="n">
        <v>45761</v>
      </c>
      <c r="D53" t="inlineStr">
        <is>
          <t>VÄSTERBOTTENS LÄN</t>
        </is>
      </c>
      <c r="E53" t="inlineStr">
        <is>
          <t>NORSJÖ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21832-2019</t>
        </is>
      </c>
      <c r="B54" s="1" t="n">
        <v>43581</v>
      </c>
      <c r="C54" s="1" t="n">
        <v>45761</v>
      </c>
      <c r="D54" t="inlineStr">
        <is>
          <t>VÄSTERBOTTENS LÄN</t>
        </is>
      </c>
      <c r="E54" t="inlineStr">
        <is>
          <t>NORSJÖ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26104-2019</t>
        </is>
      </c>
      <c r="B55" s="1" t="n">
        <v>43605</v>
      </c>
      <c r="C55" s="1" t="n">
        <v>45761</v>
      </c>
      <c r="D55" t="inlineStr">
        <is>
          <t>VÄSTERBOTTENS LÄN</t>
        </is>
      </c>
      <c r="E55" t="inlineStr">
        <is>
          <t>NORSJÖ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26523-2019</t>
        </is>
      </c>
      <c r="B56" s="1" t="n">
        <v>43612</v>
      </c>
      <c r="C56" s="1" t="n">
        <v>45761</v>
      </c>
      <c r="D56" t="inlineStr">
        <is>
          <t>VÄSTERBOTTENS LÄN</t>
        </is>
      </c>
      <c r="E56" t="inlineStr">
        <is>
          <t>NORSJÖ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26513-2019</t>
        </is>
      </c>
      <c r="B57" s="1" t="n">
        <v>43612</v>
      </c>
      <c r="C57" s="1" t="n">
        <v>45761</v>
      </c>
      <c r="D57" t="inlineStr">
        <is>
          <t>VÄSTERBOTTENS LÄN</t>
        </is>
      </c>
      <c r="E57" t="inlineStr">
        <is>
          <t>NORSJÖ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28300-2019</t>
        </is>
      </c>
      <c r="B58" s="1" t="n">
        <v>43623</v>
      </c>
      <c r="C58" s="1" t="n">
        <v>45761</v>
      </c>
      <c r="D58" t="inlineStr">
        <is>
          <t>VÄSTERBOTTENS LÄN</t>
        </is>
      </c>
      <c r="E58" t="inlineStr">
        <is>
          <t>NORSJÖ</t>
        </is>
      </c>
      <c r="F58" t="inlineStr">
        <is>
          <t>Holmen skog AB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28571-2019</t>
        </is>
      </c>
      <c r="B59" s="1" t="n">
        <v>43626</v>
      </c>
      <c r="C59" s="1" t="n">
        <v>45761</v>
      </c>
      <c r="D59" t="inlineStr">
        <is>
          <t>VÄSTERBOTTENS LÄN</t>
        </is>
      </c>
      <c r="E59" t="inlineStr">
        <is>
          <t>NORSJÖ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28573-2019</t>
        </is>
      </c>
      <c r="B60" s="1" t="n">
        <v>43626</v>
      </c>
      <c r="C60" s="1" t="n">
        <v>45761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32433-2019</t>
        </is>
      </c>
      <c r="B61" s="1" t="n">
        <v>43644</v>
      </c>
      <c r="C61" s="1" t="n">
        <v>45761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33372-2019</t>
        </is>
      </c>
      <c r="B62" s="1" t="n">
        <v>43644</v>
      </c>
      <c r="C62" s="1" t="n">
        <v>45761</v>
      </c>
      <c r="D62" t="inlineStr">
        <is>
          <t>VÄSTERBOTTENS LÄN</t>
        </is>
      </c>
      <c r="E62" t="inlineStr">
        <is>
          <t>NORSJÖ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34724-2019</t>
        </is>
      </c>
      <c r="B63" s="1" t="n">
        <v>43648</v>
      </c>
      <c r="C63" s="1" t="n">
        <v>45761</v>
      </c>
      <c r="D63" t="inlineStr">
        <is>
          <t>VÄSTERBOTTENS LÄN</t>
        </is>
      </c>
      <c r="E63" t="inlineStr">
        <is>
          <t>NORSJÖ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32977-2019</t>
        </is>
      </c>
      <c r="B64" s="1" t="n">
        <v>43648</v>
      </c>
      <c r="C64" s="1" t="n">
        <v>45761</v>
      </c>
      <c r="D64" t="inlineStr">
        <is>
          <t>VÄSTERBOTTENS LÄN</t>
        </is>
      </c>
      <c r="E64" t="inlineStr">
        <is>
          <t>NORSJÖ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33009-2019</t>
        </is>
      </c>
      <c r="B65" s="1" t="n">
        <v>43649</v>
      </c>
      <c r="C65" s="1" t="n">
        <v>45761</v>
      </c>
      <c r="D65" t="inlineStr">
        <is>
          <t>VÄSTERBOTTENS LÄN</t>
        </is>
      </c>
      <c r="E65" t="inlineStr">
        <is>
          <t>NORSJÖ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33484-2019</t>
        </is>
      </c>
      <c r="B66" s="1" t="n">
        <v>43650</v>
      </c>
      <c r="C66" s="1" t="n">
        <v>45761</v>
      </c>
      <c r="D66" t="inlineStr">
        <is>
          <t>VÄSTERBOTTENS LÄN</t>
        </is>
      </c>
      <c r="E66" t="inlineStr">
        <is>
          <t>NORSJÖ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33483-2019</t>
        </is>
      </c>
      <c r="B67" s="1" t="n">
        <v>43651</v>
      </c>
      <c r="C67" s="1" t="n">
        <v>45761</v>
      </c>
      <c r="D67" t="inlineStr">
        <is>
          <t>VÄSTERBOTTENS LÄN</t>
        </is>
      </c>
      <c r="E67" t="inlineStr">
        <is>
          <t>NORSJÖ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39100-2019</t>
        </is>
      </c>
      <c r="B68" s="1" t="n">
        <v>43689</v>
      </c>
      <c r="C68" s="1" t="n">
        <v>45761</v>
      </c>
      <c r="D68" t="inlineStr">
        <is>
          <t>VÄSTERBOTTENS LÄN</t>
        </is>
      </c>
      <c r="E68" t="inlineStr">
        <is>
          <t>NORSJÖ</t>
        </is>
      </c>
      <c r="F68" t="inlineStr">
        <is>
          <t>Sveaskog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39889-2019</t>
        </is>
      </c>
      <c r="B69" s="1" t="n">
        <v>43689</v>
      </c>
      <c r="C69" s="1" t="n">
        <v>45761</v>
      </c>
      <c r="D69" t="inlineStr">
        <is>
          <t>VÄSTERBOTTENS LÄN</t>
        </is>
      </c>
      <c r="E69" t="inlineStr">
        <is>
          <t>NORSJÖ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40612-2019</t>
        </is>
      </c>
      <c r="B70" s="1" t="n">
        <v>43696</v>
      </c>
      <c r="C70" s="1" t="n">
        <v>45761</v>
      </c>
      <c r="D70" t="inlineStr">
        <is>
          <t>VÄSTERBOTTENS LÄN</t>
        </is>
      </c>
      <c r="E70" t="inlineStr">
        <is>
          <t>NORSJÖ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40609-2019</t>
        </is>
      </c>
      <c r="B71" s="1" t="n">
        <v>43696</v>
      </c>
      <c r="C71" s="1" t="n">
        <v>45761</v>
      </c>
      <c r="D71" t="inlineStr">
        <is>
          <t>VÄSTERBOTTENS LÄN</t>
        </is>
      </c>
      <c r="E71" t="inlineStr">
        <is>
          <t>NORSJÖ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43469-2019</t>
        </is>
      </c>
      <c r="B72" s="1" t="n">
        <v>43703</v>
      </c>
      <c r="C72" s="1" t="n">
        <v>45761</v>
      </c>
      <c r="D72" t="inlineStr">
        <is>
          <t>VÄSTERBOTTENS LÄN</t>
        </is>
      </c>
      <c r="E72" t="inlineStr">
        <is>
          <t>NORSJÖ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50782-2019</t>
        </is>
      </c>
      <c r="B73" s="1" t="n">
        <v>43738</v>
      </c>
      <c r="C73" s="1" t="n">
        <v>45761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52767-2019</t>
        </is>
      </c>
      <c r="B74" s="1" t="n">
        <v>43739</v>
      </c>
      <c r="C74" s="1" t="n">
        <v>45761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53061-2019</t>
        </is>
      </c>
      <c r="B75" s="1" t="n">
        <v>43739</v>
      </c>
      <c r="C75" s="1" t="n">
        <v>45761</v>
      </c>
      <c r="D75" t="inlineStr">
        <is>
          <t>VÄSTERBOTTENS LÄN</t>
        </is>
      </c>
      <c r="E75" t="inlineStr">
        <is>
          <t>NORSJÖ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55507-2019</t>
        </is>
      </c>
      <c r="B76" s="1" t="n">
        <v>43755</v>
      </c>
      <c r="C76" s="1" t="n">
        <v>45761</v>
      </c>
      <c r="D76" t="inlineStr">
        <is>
          <t>VÄSTERBOTTENS LÄN</t>
        </is>
      </c>
      <c r="E76" t="inlineStr">
        <is>
          <t>NORSJÖ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57652-2019</t>
        </is>
      </c>
      <c r="B77" s="1" t="n">
        <v>43761</v>
      </c>
      <c r="C77" s="1" t="n">
        <v>45761</v>
      </c>
      <c r="D77" t="inlineStr">
        <is>
          <t>VÄSTERBOTTENS LÄN</t>
        </is>
      </c>
      <c r="E77" t="inlineStr">
        <is>
          <t>NORSJÖ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57046-2019</t>
        </is>
      </c>
      <c r="B78" s="1" t="n">
        <v>43766</v>
      </c>
      <c r="C78" s="1" t="n">
        <v>45761</v>
      </c>
      <c r="D78" t="inlineStr">
        <is>
          <t>VÄSTERBOTTENS LÄN</t>
        </is>
      </c>
      <c r="E78" t="inlineStr">
        <is>
          <t>NORSJÖ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58541-2019</t>
        </is>
      </c>
      <c r="B79" s="1" t="n">
        <v>43766</v>
      </c>
      <c r="C79" s="1" t="n">
        <v>45761</v>
      </c>
      <c r="D79" t="inlineStr">
        <is>
          <t>VÄSTERBOTTENS LÄN</t>
        </is>
      </c>
      <c r="E79" t="inlineStr">
        <is>
          <t>NORSJÖ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59546-2019</t>
        </is>
      </c>
      <c r="B80" s="1" t="n">
        <v>43773</v>
      </c>
      <c r="C80" s="1" t="n">
        <v>45761</v>
      </c>
      <c r="D80" t="inlineStr">
        <is>
          <t>VÄSTERBOTTENS LÄN</t>
        </is>
      </c>
      <c r="E80" t="inlineStr">
        <is>
          <t>NORSJÖ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58891-2019</t>
        </is>
      </c>
      <c r="B81" s="1" t="n">
        <v>43774</v>
      </c>
      <c r="C81" s="1" t="n">
        <v>45761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58890-2019</t>
        </is>
      </c>
      <c r="B82" s="1" t="n">
        <v>43774</v>
      </c>
      <c r="C82" s="1" t="n">
        <v>45761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58893-2019</t>
        </is>
      </c>
      <c r="B83" s="1" t="n">
        <v>43774</v>
      </c>
      <c r="C83" s="1" t="n">
        <v>45761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60265-2019</t>
        </is>
      </c>
      <c r="B84" s="1" t="n">
        <v>43780</v>
      </c>
      <c r="C84" s="1" t="n">
        <v>45761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62124-2019</t>
        </is>
      </c>
      <c r="B85" s="1" t="n">
        <v>43787</v>
      </c>
      <c r="C85" s="1" t="n">
        <v>45761</v>
      </c>
      <c r="D85" t="inlineStr">
        <is>
          <t>VÄSTERBOTTENS LÄN</t>
        </is>
      </c>
      <c r="E85" t="inlineStr">
        <is>
          <t>NORSJÖ</t>
        </is>
      </c>
      <c r="F85" t="inlineStr">
        <is>
          <t>Sveaskog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692-2020</t>
        </is>
      </c>
      <c r="B86" s="1" t="n">
        <v>43817</v>
      </c>
      <c r="C86" s="1" t="n">
        <v>45761</v>
      </c>
      <c r="D86" t="inlineStr">
        <is>
          <t>VÄSTERBOTTENS LÄN</t>
        </is>
      </c>
      <c r="E86" t="inlineStr">
        <is>
          <t>NORSJÖ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1854-2020</t>
        </is>
      </c>
      <c r="B87" s="1" t="n">
        <v>43844</v>
      </c>
      <c r="C87" s="1" t="n">
        <v>45761</v>
      </c>
      <c r="D87" t="inlineStr">
        <is>
          <t>VÄSTERBOTTENS LÄN</t>
        </is>
      </c>
      <c r="E87" t="inlineStr">
        <is>
          <t>NORSJÖ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3293-2020</t>
        </is>
      </c>
      <c r="B88" s="1" t="n">
        <v>43852</v>
      </c>
      <c r="C88" s="1" t="n">
        <v>45761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3237-2020</t>
        </is>
      </c>
      <c r="B89" s="1" t="n">
        <v>43852</v>
      </c>
      <c r="C89" s="1" t="n">
        <v>45761</v>
      </c>
      <c r="D89" t="inlineStr">
        <is>
          <t>VÄSTERBOTTENS LÄN</t>
        </is>
      </c>
      <c r="E89" t="inlineStr">
        <is>
          <t>NORSJÖ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45761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45761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45761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45761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45761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45761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45761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45761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45761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45761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45761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45761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45761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45761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45761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45761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45761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45761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45761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45761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45761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45761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45761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45761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45761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45761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45761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45761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45761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45761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45761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45761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45761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45761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45761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45761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45761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45761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45761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45761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45761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45761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45761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45761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45761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45761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45761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45761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45761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45761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45761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45761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45761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45761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45761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45761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45761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45761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45761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45761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45761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45761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45761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45761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45761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45761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45761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45761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45761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45761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45761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45761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45761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45761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45761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45761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45761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45761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45761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45761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45761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45761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45761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45761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45761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45761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45761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45761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45761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45761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45761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45761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45761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45761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45761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45761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45761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45761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45761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45761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45761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45761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45761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45761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45761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45761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45761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45761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45761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45761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45761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45761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45761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45761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45761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45761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45761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45761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45761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45761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45761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45761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45761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45761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45761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45761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45761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45761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45761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45761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45761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45761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45761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45761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45761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45761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45761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45761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45761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45761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45761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45761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45761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45761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45761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45761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45761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45761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45761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45761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45761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45761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45761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45761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45761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45761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45761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45761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45761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45761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45761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45761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45761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45761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45761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45761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45761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45761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45761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45761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45761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45761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45761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45761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45761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45761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45761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45761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45761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45761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45761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45761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45761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45761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45761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45761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45761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45761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45761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45761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45761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45761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45761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45761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45761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45761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45761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45761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45761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45761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45761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45761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45761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45761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45761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45761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45761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45761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45761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45761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45761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45761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45761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45761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45761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45761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45761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45761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45761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45761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45761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45761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45761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45761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45761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45761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45761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45761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45761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45761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45761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45761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45761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45761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45761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45761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45761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45761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45761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45761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45761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45761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45761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45761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45761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45761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45761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45761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45761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45761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45761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45761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45761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45761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45761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45761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45761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45761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45761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45761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45761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45761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45761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45761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45761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45761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45761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45761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45761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45761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45761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45761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45761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45761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45761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45761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45761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45761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45761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45761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45761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45761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45761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45761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45761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45761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45761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45761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45761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45761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45761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45761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45761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45761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45761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45761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45761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45761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45761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45761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45761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45761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45761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45761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45761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45761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45761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45761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45761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45761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45761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45761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45761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45761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45761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45761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45761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45761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45761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45761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45761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45761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45761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45761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45761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45761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45761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45761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45761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45761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45761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45761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45761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45761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45761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45761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45761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45761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45761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45761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45761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45761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45761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45761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45761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45761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45761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45761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45761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45761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45761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45761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45761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45761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45761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45761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45761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45761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45761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45761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45761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45761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45761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45761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45761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45761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45761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45761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45761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45761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45761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45761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45761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45761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45761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45761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45761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45761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45761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45761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45761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45761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45761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45761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45761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45761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45761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45761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45761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45761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45761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45761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45761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45761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45761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45761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45761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45761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45761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45761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45761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45761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45761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45761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45761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45761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45761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45761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45761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45761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45761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45761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45761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45761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45761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45761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45761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45761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45761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45761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45761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45761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45761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45761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45761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45761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45761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45761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45761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45761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45761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45761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45761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45761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45761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45761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45761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45761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45761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45761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45761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45761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45761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45761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45761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45761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45761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45761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45761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45761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45761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45761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45761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45761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45761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45761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45761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45761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45761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45761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45761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45761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45761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45761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45761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45761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45761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45761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45761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45761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45761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45761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45761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45761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45761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45761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45761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45761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45761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45761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45761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45761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45761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45761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45761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45761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45761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45761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45761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45761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45761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45761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45761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45761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45761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45761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45761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45761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45761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45761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45761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45761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45761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45761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45761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45761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45761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45761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45761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45761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45761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45761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45761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45761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45761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45761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45761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45761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45761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45761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45761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45761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45761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45761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45761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45761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45761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45761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45761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45761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45761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45761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45761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45761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45761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45761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45761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45761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45761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45761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45761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45761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45761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45761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45761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45761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45761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45761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45761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45761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45761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45761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45761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45761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45761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45761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45761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45761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45761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45761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45761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45761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45761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45761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45761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45761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45761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45761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45761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45761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45761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45761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45761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45761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45761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45761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45761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45761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45761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45761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45761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45761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45761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45761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45761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45761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45761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45761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45761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45761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45761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45761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45761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45761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45761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45761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45761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45761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45761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45761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45761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45761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45761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45761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45761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45761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45761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45761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45761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45761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45761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45761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45761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45761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45761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45761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45761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45761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45761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45761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45761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45761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45761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45761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45761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45761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45761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45761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45761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45761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45761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45761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45761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45761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45761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45761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45761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45761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45761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45761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45761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45761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45761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45761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45761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45761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45761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45761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45761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45761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45761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45761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45761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45761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45761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45761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45761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45761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45761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45761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45761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45761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45761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45761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45761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45761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45761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45761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45761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45761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45761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45761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45761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45761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45761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45761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45761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45761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45761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45761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45761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45761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45761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45761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45761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45761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45761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45761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45761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45761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45761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45761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45761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45761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45761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45761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45761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45761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45761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45761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45761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45761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45761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45761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45761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45761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45761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45761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45761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45761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45761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45761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45761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45761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45761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45761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45761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45761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45761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45761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45761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45761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45761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45761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45761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45761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45761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45761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45761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45761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45761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45761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45761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45761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45761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45761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45761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45761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45761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45761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45761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45761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45761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45761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45761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45761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45761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45761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45761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45761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45761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45761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45761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45761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45761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45761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45761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45761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45761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45761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45761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45761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45761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45761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45761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45761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45761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45761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45761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45761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45761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45761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45761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45761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45761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45761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45761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45761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45761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45761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45761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45761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45761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45761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45761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45761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45761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45761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45761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45761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45761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45761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45761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45761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45761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45761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45761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45761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45761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45761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45761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45761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45761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45761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45761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45761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45761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45761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45761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45761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45761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45761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45761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45761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45761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45761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45761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45761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45761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45761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45761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45761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45761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45761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45761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45761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45761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45761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45761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45761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45761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45761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45761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45761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45761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45761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45761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45761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45761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45761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45761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45761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45761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45761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45761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45761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45761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45761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45761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45761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45761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45761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45761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45761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45761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45761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45761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45761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45761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45761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45761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45761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45761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45761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45761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45761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45761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45761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45761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45761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45761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45761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45761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45761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45761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45761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45761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45761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45761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45761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45761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45761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45761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45761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45761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45761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45761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45761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45761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45761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45761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45761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45761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45761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45761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45761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45761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45761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45761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45761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45761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45761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45761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45761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45761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45761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45761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45761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45761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45761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45761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45761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45761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45761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45761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45761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45761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45761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45761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45761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45761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45761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45761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16233-2025</t>
        </is>
      </c>
      <c r="B1013" s="1" t="n">
        <v>45750</v>
      </c>
      <c r="C1013" s="1" t="n">
        <v>45761</v>
      </c>
      <c r="D1013" t="inlineStr">
        <is>
          <t>VÄSTERBOTTENS LÄN</t>
        </is>
      </c>
      <c r="E1013" t="inlineStr">
        <is>
          <t>NORSJÖ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16229-2025</t>
        </is>
      </c>
      <c r="B1014" s="1" t="n">
        <v>45750</v>
      </c>
      <c r="C1014" s="1" t="n">
        <v>45761</v>
      </c>
      <c r="D1014" t="inlineStr">
        <is>
          <t>VÄSTERBOTTENS LÄN</t>
        </is>
      </c>
      <c r="E1014" t="inlineStr">
        <is>
          <t>NORSJÖ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16231-2025</t>
        </is>
      </c>
      <c r="B1015" s="1" t="n">
        <v>45750</v>
      </c>
      <c r="C1015" s="1" t="n">
        <v>45761</v>
      </c>
      <c r="D1015" t="inlineStr">
        <is>
          <t>VÄSTERBOTTENS LÄN</t>
        </is>
      </c>
      <c r="E1015" t="inlineStr">
        <is>
          <t>NORSJÖ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16232-2025</t>
        </is>
      </c>
      <c r="B1016" s="1" t="n">
        <v>45750</v>
      </c>
      <c r="C1016" s="1" t="n">
        <v>45761</v>
      </c>
      <c r="D1016" t="inlineStr">
        <is>
          <t>VÄSTERBOTTENS LÄN</t>
        </is>
      </c>
      <c r="E1016" t="inlineStr">
        <is>
          <t>NORSJÖ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16325-2025</t>
        </is>
      </c>
      <c r="B1017" s="1" t="n">
        <v>45750</v>
      </c>
      <c r="C1017" s="1" t="n">
        <v>45761</v>
      </c>
      <c r="D1017" t="inlineStr">
        <is>
          <t>VÄSTERBOTTENS LÄN</t>
        </is>
      </c>
      <c r="E1017" t="inlineStr">
        <is>
          <t>NORSJÖ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45761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45761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45761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17228-2025</t>
        </is>
      </c>
      <c r="B1021" s="1" t="n">
        <v>45756</v>
      </c>
      <c r="C1021" s="1" t="n">
        <v>45761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2025-04-14T16:37:26Z</dcterms:created>
  <dcterms:modified xmlns:dcterms="http://purl.org/dc/terms/" xmlns:xsi="http://www.w3.org/2001/XMLSchema-instance" xsi:type="dcterms:W3CDTF">2025-04-14T16:37:27Z</dcterms:modified>
</cp:coreProperties>
</file>