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45899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45899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45899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45899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45899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45899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35262-2025</t>
        </is>
      </c>
      <c r="B8" s="1" t="n">
        <v>45853.78947916667</v>
      </c>
      <c r="C8" s="1" t="n">
        <v>45899</v>
      </c>
      <c r="D8" t="inlineStr">
        <is>
          <t>VÄSTERBOTTENS LÄN</t>
        </is>
      </c>
      <c r="E8" t="inlineStr">
        <is>
          <t>NORSJÖ</t>
        </is>
      </c>
      <c r="F8" t="inlineStr">
        <is>
          <t>Sveaskog</t>
        </is>
      </c>
      <c r="G8" t="n">
        <v>9.199999999999999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Tretåig hackspett
Grönpyrola
Ögonpyrola
Fläcknycklar</t>
        </is>
      </c>
      <c r="S8">
        <f>HYPERLINK("https://klasma.github.io/Logging_2417/artfynd/A 35262-2025 artfynd.xlsx", "A 35262-2025")</f>
        <v/>
      </c>
      <c r="T8">
        <f>HYPERLINK("https://klasma.github.io/Logging_2417/kartor/A 35262-2025 karta.png", "A 35262-2025")</f>
        <v/>
      </c>
      <c r="V8">
        <f>HYPERLINK("https://klasma.github.io/Logging_2417/klagomål/A 35262-2025 FSC-klagomål.docx", "A 35262-2025")</f>
        <v/>
      </c>
      <c r="W8">
        <f>HYPERLINK("https://klasma.github.io/Logging_2417/klagomålsmail/A 35262-2025 FSC-klagomål mail.docx", "A 35262-2025")</f>
        <v/>
      </c>
      <c r="X8">
        <f>HYPERLINK("https://klasma.github.io/Logging_2417/tillsyn/A 35262-2025 tillsynsbegäran.docx", "A 35262-2025")</f>
        <v/>
      </c>
      <c r="Y8">
        <f>HYPERLINK("https://klasma.github.io/Logging_2417/tillsynsmail/A 35262-2025 tillsynsbegäran mail.docx", "A 35262-2025")</f>
        <v/>
      </c>
      <c r="Z8">
        <f>HYPERLINK("https://klasma.github.io/Logging_2417/fåglar/A 35262-2025 prioriterade fågelarter.docx", "A 35262-2025")</f>
        <v/>
      </c>
    </row>
    <row r="9" ht="15" customHeight="1">
      <c r="A9" t="inlineStr">
        <is>
          <t>A 50261-2024</t>
        </is>
      </c>
      <c r="B9" s="1" t="n">
        <v>45600.58561342592</v>
      </c>
      <c r="C9" s="1" t="n">
        <v>45899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6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Gammelgransskål
Vaddporing
Dropptaggsvamp
Skinnlav
Vedticka</t>
        </is>
      </c>
      <c r="S9">
        <f>HYPERLINK("https://klasma.github.io/Logging_2417/artfynd/A 50261-2024 artfynd.xlsx", "A 50261-2024")</f>
        <v/>
      </c>
      <c r="T9">
        <f>HYPERLINK("https://klasma.github.io/Logging_2417/kartor/A 50261-2024 karta.png", "A 50261-2024")</f>
        <v/>
      </c>
      <c r="U9">
        <f>HYPERLINK("https://klasma.github.io/Logging_2417/knärot/A 50261-2024 karta knärot.png", "A 50261-2024")</f>
        <v/>
      </c>
      <c r="V9">
        <f>HYPERLINK("https://klasma.github.io/Logging_2417/klagomål/A 50261-2024 FSC-klagomål.docx", "A 50261-2024")</f>
        <v/>
      </c>
      <c r="W9">
        <f>HYPERLINK("https://klasma.github.io/Logging_2417/klagomålsmail/A 50261-2024 FSC-klagomål mail.docx", "A 50261-2024")</f>
        <v/>
      </c>
      <c r="X9">
        <f>HYPERLINK("https://klasma.github.io/Logging_2417/tillsyn/A 50261-2024 tillsynsbegäran.docx", "A 50261-2024")</f>
        <v/>
      </c>
      <c r="Y9">
        <f>HYPERLINK("https://klasma.github.io/Logging_2417/tillsynsmail/A 50261-2024 tillsynsbegäran mail.docx", "A 50261-2024")</f>
        <v/>
      </c>
    </row>
    <row r="10" ht="15" customHeight="1">
      <c r="A10" t="inlineStr">
        <is>
          <t>A 44833-2024</t>
        </is>
      </c>
      <c r="B10" s="1" t="n">
        <v>45574.69194444444</v>
      </c>
      <c r="C10" s="1" t="n">
        <v>45899</v>
      </c>
      <c r="D10" t="inlineStr">
        <is>
          <t>VÄSTERBOTTENS LÄN</t>
        </is>
      </c>
      <c r="E10" t="inlineStr">
        <is>
          <t>NORSJÖ</t>
        </is>
      </c>
      <c r="G10" t="n">
        <v>15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Gammelgransskål
Garnlav
Granticka
Ullticka
Spindelblomster</t>
        </is>
      </c>
      <c r="S10">
        <f>HYPERLINK("https://klasma.github.io/Logging_2417/artfynd/A 44833-2024 artfynd.xlsx", "A 44833-2024")</f>
        <v/>
      </c>
      <c r="T10">
        <f>HYPERLINK("https://klasma.github.io/Logging_2417/kartor/A 44833-2024 karta.png", "A 44833-2024")</f>
        <v/>
      </c>
      <c r="U10">
        <f>HYPERLINK("https://klasma.github.io/Logging_2417/knärot/A 44833-2024 karta knärot.png", "A 44833-2024")</f>
        <v/>
      </c>
      <c r="V10">
        <f>HYPERLINK("https://klasma.github.io/Logging_2417/klagomål/A 44833-2024 FSC-klagomål.docx", "A 44833-2024")</f>
        <v/>
      </c>
      <c r="W10">
        <f>HYPERLINK("https://klasma.github.io/Logging_2417/klagomålsmail/A 44833-2024 FSC-klagomål mail.docx", "A 44833-2024")</f>
        <v/>
      </c>
      <c r="X10">
        <f>HYPERLINK("https://klasma.github.io/Logging_2417/tillsyn/A 44833-2024 tillsynsbegäran.docx", "A 44833-2024")</f>
        <v/>
      </c>
      <c r="Y10">
        <f>HYPERLINK("https://klasma.github.io/Logging_2417/tillsynsmail/A 44833-2024 tillsynsbegäran mail.docx", "A 44833-2024")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45899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34043-2024</t>
        </is>
      </c>
      <c r="B12" s="1" t="n">
        <v>45523.60096064815</v>
      </c>
      <c r="C12" s="1" t="n">
        <v>45899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32237-2024</t>
        </is>
      </c>
      <c r="B13" s="1" t="n">
        <v>45511.92913194445</v>
      </c>
      <c r="C13" s="1" t="n">
        <v>45899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47332-2024</t>
        </is>
      </c>
      <c r="B14" s="1" t="n">
        <v>45587.39060185185</v>
      </c>
      <c r="C14" s="1" t="n">
        <v>45899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17.5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Lammticka
Motaggsvamp
Orange taggsvamp
Dropptaggsvamp</t>
        </is>
      </c>
      <c r="S14">
        <f>HYPERLINK("https://klasma.github.io/Logging_2417/artfynd/A 47332-2024 artfynd.xlsx", "A 47332-2024")</f>
        <v/>
      </c>
      <c r="T14">
        <f>HYPERLINK("https://klasma.github.io/Logging_2417/kartor/A 47332-2024 karta.png", "A 47332-2024")</f>
        <v/>
      </c>
      <c r="V14">
        <f>HYPERLINK("https://klasma.github.io/Logging_2417/klagomål/A 47332-2024 FSC-klagomål.docx", "A 47332-2024")</f>
        <v/>
      </c>
      <c r="W14">
        <f>HYPERLINK("https://klasma.github.io/Logging_2417/klagomålsmail/A 47332-2024 FSC-klagomål mail.docx", "A 47332-2024")</f>
        <v/>
      </c>
      <c r="X14">
        <f>HYPERLINK("https://klasma.github.io/Logging_2417/tillsyn/A 47332-2024 tillsynsbegäran.docx", "A 47332-2024")</f>
        <v/>
      </c>
      <c r="Y14">
        <f>HYPERLINK("https://klasma.github.io/Logging_2417/tillsynsmail/A 47332-2024 tillsynsbegäran mail.docx", "A 47332-2024")</f>
        <v/>
      </c>
    </row>
    <row r="15" ht="15" customHeight="1">
      <c r="A15" t="inlineStr">
        <is>
          <t>A 47450-2024</t>
        </is>
      </c>
      <c r="B15" s="1" t="n">
        <v>45587.53958333333</v>
      </c>
      <c r="C15" s="1" t="n">
        <v>45899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65240-2023</t>
        </is>
      </c>
      <c r="B16" s="1" t="n">
        <v>45289</v>
      </c>
      <c r="C16" s="1" t="n">
        <v>45899</v>
      </c>
      <c r="D16" t="inlineStr">
        <is>
          <t>VÄSTERBOTTENS LÄN</t>
        </is>
      </c>
      <c r="E16" t="inlineStr">
        <is>
          <t>NORSJÖ</t>
        </is>
      </c>
      <c r="G16" t="n">
        <v>4.8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Spillkråka
Ullticka</t>
        </is>
      </c>
      <c r="S16">
        <f>HYPERLINK("https://klasma.github.io/Logging_2417/artfynd/A 65240-2023 artfynd.xlsx", "A 65240-2023")</f>
        <v/>
      </c>
      <c r="T16">
        <f>HYPERLINK("https://klasma.github.io/Logging_2417/kartor/A 65240-2023 karta.png", "A 65240-2023")</f>
        <v/>
      </c>
      <c r="V16">
        <f>HYPERLINK("https://klasma.github.io/Logging_2417/klagomål/A 65240-2023 FSC-klagomål.docx", "A 65240-2023")</f>
        <v/>
      </c>
      <c r="W16">
        <f>HYPERLINK("https://klasma.github.io/Logging_2417/klagomålsmail/A 65240-2023 FSC-klagomål mail.docx", "A 65240-2023")</f>
        <v/>
      </c>
      <c r="X16">
        <f>HYPERLINK("https://klasma.github.io/Logging_2417/tillsyn/A 65240-2023 tillsynsbegäran.docx", "A 65240-2023")</f>
        <v/>
      </c>
      <c r="Y16">
        <f>HYPERLINK("https://klasma.github.io/Logging_2417/tillsynsmail/A 65240-2023 tillsynsbegäran mail.docx", "A 65240-2023")</f>
        <v/>
      </c>
      <c r="Z16">
        <f>HYPERLINK("https://klasma.github.io/Logging_2417/fåglar/A 65240-2023 prioriterade fågelarter.docx", "A 65240-2023")</f>
        <v/>
      </c>
    </row>
    <row r="17" ht="15" customHeight="1">
      <c r="A17" t="inlineStr">
        <is>
          <t>A 33529-2024</t>
        </is>
      </c>
      <c r="B17" s="1" t="n">
        <v>45519.67001157408</v>
      </c>
      <c r="C17" s="1" t="n">
        <v>45899</v>
      </c>
      <c r="D17" t="inlineStr">
        <is>
          <t>VÄSTERBOTTENS LÄN</t>
        </is>
      </c>
      <c r="E17" t="inlineStr">
        <is>
          <t>NORSJÖ</t>
        </is>
      </c>
      <c r="F17" t="inlineStr">
        <is>
          <t>Holmen skog AB</t>
        </is>
      </c>
      <c r="G17" t="n">
        <v>11.8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Lunglav
Bårdlav
Skinnlav</t>
        </is>
      </c>
      <c r="S17">
        <f>HYPERLINK("https://klasma.github.io/Logging_2417/artfynd/A 33529-2024 artfynd.xlsx", "A 33529-2024")</f>
        <v/>
      </c>
      <c r="T17">
        <f>HYPERLINK("https://klasma.github.io/Logging_2417/kartor/A 33529-2024 karta.png", "A 33529-2024")</f>
        <v/>
      </c>
      <c r="V17">
        <f>HYPERLINK("https://klasma.github.io/Logging_2417/klagomål/A 33529-2024 FSC-klagomål.docx", "A 33529-2024")</f>
        <v/>
      </c>
      <c r="W17">
        <f>HYPERLINK("https://klasma.github.io/Logging_2417/klagomålsmail/A 33529-2024 FSC-klagomål mail.docx", "A 33529-2024")</f>
        <v/>
      </c>
      <c r="X17">
        <f>HYPERLINK("https://klasma.github.io/Logging_2417/tillsyn/A 33529-2024 tillsynsbegäran.docx", "A 33529-2024")</f>
        <v/>
      </c>
      <c r="Y17">
        <f>HYPERLINK("https://klasma.github.io/Logging_2417/tillsynsmail/A 33529-2024 tillsynsbegäran mail.docx", "A 33529-2024")</f>
        <v/>
      </c>
    </row>
    <row r="18" ht="15" customHeight="1">
      <c r="A18" t="inlineStr">
        <is>
          <t>A 30021-2025</t>
        </is>
      </c>
      <c r="B18" s="1" t="n">
        <v>45826.55575231482</v>
      </c>
      <c r="C18" s="1" t="n">
        <v>45899</v>
      </c>
      <c r="D18" t="inlineStr">
        <is>
          <t>VÄSTERBOTTENS LÄN</t>
        </is>
      </c>
      <c r="E18" t="inlineStr">
        <is>
          <t>NORSJÖ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Blå taggsvamp
Talltita</t>
        </is>
      </c>
      <c r="S18">
        <f>HYPERLINK("https://klasma.github.io/Logging_2417/artfynd/A 30021-2025 artfynd.xlsx", "A 30021-2025")</f>
        <v/>
      </c>
      <c r="T18">
        <f>HYPERLINK("https://klasma.github.io/Logging_2417/kartor/A 30021-2025 karta.png", "A 30021-2025")</f>
        <v/>
      </c>
      <c r="V18">
        <f>HYPERLINK("https://klasma.github.io/Logging_2417/klagomål/A 30021-2025 FSC-klagomål.docx", "A 30021-2025")</f>
        <v/>
      </c>
      <c r="W18">
        <f>HYPERLINK("https://klasma.github.io/Logging_2417/klagomålsmail/A 30021-2025 FSC-klagomål mail.docx", "A 30021-2025")</f>
        <v/>
      </c>
      <c r="X18">
        <f>HYPERLINK("https://klasma.github.io/Logging_2417/tillsyn/A 30021-2025 tillsynsbegäran.docx", "A 30021-2025")</f>
        <v/>
      </c>
      <c r="Y18">
        <f>HYPERLINK("https://klasma.github.io/Logging_2417/tillsynsmail/A 30021-2025 tillsynsbegäran mail.docx", "A 30021-2025")</f>
        <v/>
      </c>
      <c r="Z18">
        <f>HYPERLINK("https://klasma.github.io/Logging_2417/fåglar/A 30021-2025 prioriterade fågelarter.docx", "A 30021-2025")</f>
        <v/>
      </c>
    </row>
    <row r="19" ht="15" customHeight="1">
      <c r="A19" t="inlineStr">
        <is>
          <t>A 55641-2024</t>
        </is>
      </c>
      <c r="B19" s="1" t="n">
        <v>45622.61625</v>
      </c>
      <c r="C19" s="1" t="n">
        <v>45899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14.6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Stjärntagging</t>
        </is>
      </c>
      <c r="S19">
        <f>HYPERLINK("https://klasma.github.io/Logging_2417/artfynd/A 55641-2024 artfynd.xlsx", "A 55641-2024")</f>
        <v/>
      </c>
      <c r="T19">
        <f>HYPERLINK("https://klasma.github.io/Logging_2417/kartor/A 55641-2024 karta.png", "A 55641-2024")</f>
        <v/>
      </c>
      <c r="V19">
        <f>HYPERLINK("https://klasma.github.io/Logging_2417/klagomål/A 55641-2024 FSC-klagomål.docx", "A 55641-2024")</f>
        <v/>
      </c>
      <c r="W19">
        <f>HYPERLINK("https://klasma.github.io/Logging_2417/klagomålsmail/A 55641-2024 FSC-klagomål mail.docx", "A 55641-2024")</f>
        <v/>
      </c>
      <c r="X19">
        <f>HYPERLINK("https://klasma.github.io/Logging_2417/tillsyn/A 55641-2024 tillsynsbegäran.docx", "A 55641-2024")</f>
        <v/>
      </c>
      <c r="Y19">
        <f>HYPERLINK("https://klasma.github.io/Logging_2417/tillsynsmail/A 55641-2024 tillsynsbegäran mail.docx", "A 55641-2024")</f>
        <v/>
      </c>
    </row>
    <row r="20" ht="15" customHeight="1">
      <c r="A20" t="inlineStr">
        <is>
          <t>A 47327-2024</t>
        </is>
      </c>
      <c r="B20" s="1" t="n">
        <v>45587.38496527778</v>
      </c>
      <c r="C20" s="1" t="n">
        <v>45899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34948-2025</t>
        </is>
      </c>
      <c r="B21" s="1" t="n">
        <v>45849.59368055555</v>
      </c>
      <c r="C21" s="1" t="n">
        <v>45899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Knottrig blåslav</t>
        </is>
      </c>
      <c r="S21">
        <f>HYPERLINK("https://klasma.github.io/Logging_2417/artfynd/A 34948-2025 artfynd.xlsx", "A 34948-2025")</f>
        <v/>
      </c>
      <c r="T21">
        <f>HYPERLINK("https://klasma.github.io/Logging_2417/kartor/A 34948-2025 karta.png", "A 34948-2025")</f>
        <v/>
      </c>
      <c r="V21">
        <f>HYPERLINK("https://klasma.github.io/Logging_2417/klagomål/A 34948-2025 FSC-klagomål.docx", "A 34948-2025")</f>
        <v/>
      </c>
      <c r="W21">
        <f>HYPERLINK("https://klasma.github.io/Logging_2417/klagomålsmail/A 34948-2025 FSC-klagomål mail.docx", "A 34948-2025")</f>
        <v/>
      </c>
      <c r="X21">
        <f>HYPERLINK("https://klasma.github.io/Logging_2417/tillsyn/A 34948-2025 tillsynsbegäran.docx", "A 34948-2025")</f>
        <v/>
      </c>
      <c r="Y21">
        <f>HYPERLINK("https://klasma.github.io/Logging_2417/tillsynsmail/A 34948-2025 tillsynsbegäran mail.docx", "A 34948-2025")</f>
        <v/>
      </c>
    </row>
    <row r="22" ht="15" customHeight="1">
      <c r="A22" t="inlineStr">
        <is>
          <t>A 32618-2024</t>
        </is>
      </c>
      <c r="B22" s="1" t="n">
        <v>45513.68399305556</v>
      </c>
      <c r="C22" s="1" t="n">
        <v>45899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HYPERLINK("https://klasma.github.io/Logging_2417/artfynd/A 32618-2024 artfynd.xlsx", "A 32618-2024")</f>
        <v/>
      </c>
      <c r="T22">
        <f>HYPERLINK("https://klasma.github.io/Logging_2417/kartor/A 32618-2024 karta.png", "A 32618-2024")</f>
        <v/>
      </c>
      <c r="V22">
        <f>HYPERLINK("https://klasma.github.io/Logging_2417/klagomål/A 32618-2024 FSC-klagomål.docx", "A 32618-2024")</f>
        <v/>
      </c>
      <c r="W22">
        <f>HYPERLINK("https://klasma.github.io/Logging_2417/klagomålsmail/A 32618-2024 FSC-klagomål mail.docx", "A 32618-2024")</f>
        <v/>
      </c>
      <c r="X22">
        <f>HYPERLINK("https://klasma.github.io/Logging_2417/tillsyn/A 32618-2024 tillsynsbegäran.docx", "A 32618-2024")</f>
        <v/>
      </c>
      <c r="Y22">
        <f>HYPERLINK("https://klasma.github.io/Logging_2417/tillsynsmail/A 32618-2024 tillsynsbegäran mail.docx", "A 32618-2024")</f>
        <v/>
      </c>
    </row>
    <row r="23" ht="15" customHeight="1">
      <c r="A23" t="inlineStr">
        <is>
          <t>A 35430-2024</t>
        </is>
      </c>
      <c r="B23" s="1" t="n">
        <v>45531.41425925926</v>
      </c>
      <c r="C23" s="1" t="n">
        <v>45899</v>
      </c>
      <c r="D23" t="inlineStr">
        <is>
          <t>VÄSTERBOTTENS LÄN</t>
        </is>
      </c>
      <c r="E23" t="inlineStr">
        <is>
          <t>NORSJÖ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HYPERLINK("https://klasma.github.io/Logging_2417/artfynd/A 35430-2024 artfynd.xlsx", "A 35430-2024")</f>
        <v/>
      </c>
      <c r="T23">
        <f>HYPERLINK("https://klasma.github.io/Logging_2417/kartor/A 35430-2024 karta.png", "A 35430-2024")</f>
        <v/>
      </c>
      <c r="V23">
        <f>HYPERLINK("https://klasma.github.io/Logging_2417/klagomål/A 35430-2024 FSC-klagomål.docx", "A 35430-2024")</f>
        <v/>
      </c>
      <c r="W23">
        <f>HYPERLINK("https://klasma.github.io/Logging_2417/klagomålsmail/A 35430-2024 FSC-klagomål mail.docx", "A 35430-2024")</f>
        <v/>
      </c>
      <c r="X23">
        <f>HYPERLINK("https://klasma.github.io/Logging_2417/tillsyn/A 35430-2024 tillsynsbegäran.docx", "A 35430-2024")</f>
        <v/>
      </c>
      <c r="Y23">
        <f>HYPERLINK("https://klasma.github.io/Logging_2417/tillsynsmail/A 35430-2024 tillsynsbegäran mail.docx", "A 35430-2024")</f>
        <v/>
      </c>
      <c r="Z23">
        <f>HYPERLINK("https://klasma.github.io/Logging_2417/fåglar/A 35430-2024 prioriterade fågelarter.docx", "A 35430-2024")</f>
        <v/>
      </c>
    </row>
    <row r="24" ht="15" customHeight="1">
      <c r="A24" t="inlineStr">
        <is>
          <t>A 52538-2024</t>
        </is>
      </c>
      <c r="B24" s="1" t="n">
        <v>45609.62820601852</v>
      </c>
      <c r="C24" s="1" t="n">
        <v>45899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10.8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Orange taggsvamp</t>
        </is>
      </c>
      <c r="S24">
        <f>HYPERLINK("https://klasma.github.io/Logging_2417/artfynd/A 52538-2024 artfynd.xlsx", "A 52538-2024")</f>
        <v/>
      </c>
      <c r="T24">
        <f>HYPERLINK("https://klasma.github.io/Logging_2417/kartor/A 52538-2024 karta.png", "A 52538-2024")</f>
        <v/>
      </c>
      <c r="V24">
        <f>HYPERLINK("https://klasma.github.io/Logging_2417/klagomål/A 52538-2024 FSC-klagomål.docx", "A 52538-2024")</f>
        <v/>
      </c>
      <c r="W24">
        <f>HYPERLINK("https://klasma.github.io/Logging_2417/klagomålsmail/A 52538-2024 FSC-klagomål mail.docx", "A 52538-2024")</f>
        <v/>
      </c>
      <c r="X24">
        <f>HYPERLINK("https://klasma.github.io/Logging_2417/tillsyn/A 52538-2024 tillsynsbegäran.docx", "A 52538-2024")</f>
        <v/>
      </c>
      <c r="Y24">
        <f>HYPERLINK("https://klasma.github.io/Logging_2417/tillsynsmail/A 52538-2024 tillsynsbegäran mail.docx", "A 52538-2024")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45899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38052-2024</t>
        </is>
      </c>
      <c r="B26" s="1" t="n">
        <v>45544.70700231481</v>
      </c>
      <c r="C26" s="1" t="n">
        <v>45899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Fläcknycklar</t>
        </is>
      </c>
      <c r="S26">
        <f>HYPERLINK("https://klasma.github.io/Logging_2417/artfynd/A 38052-2024 artfynd.xlsx", "A 38052-2024")</f>
        <v/>
      </c>
      <c r="T26">
        <f>HYPERLINK("https://klasma.github.io/Logging_2417/kartor/A 38052-2024 karta.png", "A 38052-2024")</f>
        <v/>
      </c>
      <c r="V26">
        <f>HYPERLINK("https://klasma.github.io/Logging_2417/klagomål/A 38052-2024 FSC-klagomål.docx", "A 38052-2024")</f>
        <v/>
      </c>
      <c r="W26">
        <f>HYPERLINK("https://klasma.github.io/Logging_2417/klagomålsmail/A 38052-2024 FSC-klagomål mail.docx", "A 38052-2024")</f>
        <v/>
      </c>
      <c r="X26">
        <f>HYPERLINK("https://klasma.github.io/Logging_2417/tillsyn/A 38052-2024 tillsynsbegäran.docx", "A 38052-2024")</f>
        <v/>
      </c>
      <c r="Y26">
        <f>HYPERLINK("https://klasma.github.io/Logging_2417/tillsynsmail/A 38052-2024 tillsynsbegäran mail.docx", "A 38052-2024")</f>
        <v/>
      </c>
    </row>
    <row r="27" ht="15" customHeight="1">
      <c r="A27" t="inlineStr">
        <is>
          <t>A 51640-2021</t>
        </is>
      </c>
      <c r="B27" s="1" t="n">
        <v>44462</v>
      </c>
      <c r="C27" s="1" t="n">
        <v>45899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HYPERLINK("https://klasma.github.io/Logging_2417/artfynd/A 51640-2021 artfynd.xlsx", "A 51640-2021")</f>
        <v/>
      </c>
      <c r="T27">
        <f>HYPERLINK("https://klasma.github.io/Logging_2417/kartor/A 51640-2021 karta.png", "A 51640-2021")</f>
        <v/>
      </c>
      <c r="V27">
        <f>HYPERLINK("https://klasma.github.io/Logging_2417/klagomål/A 51640-2021 FSC-klagomål.docx", "A 51640-2021")</f>
        <v/>
      </c>
      <c r="W27">
        <f>HYPERLINK("https://klasma.github.io/Logging_2417/klagomålsmail/A 51640-2021 FSC-klagomål mail.docx", "A 51640-2021")</f>
        <v/>
      </c>
      <c r="X27">
        <f>HYPERLINK("https://klasma.github.io/Logging_2417/tillsyn/A 51640-2021 tillsynsbegäran.docx", "A 51640-2021")</f>
        <v/>
      </c>
      <c r="Y27">
        <f>HYPERLINK("https://klasma.github.io/Logging_2417/tillsynsmail/A 51640-2021 tillsynsbegäran mail.docx", "A 51640-2021")</f>
        <v/>
      </c>
    </row>
    <row r="28" ht="15" customHeight="1">
      <c r="A28" t="inlineStr">
        <is>
          <t>A 8159-2024</t>
        </is>
      </c>
      <c r="B28" s="1" t="n">
        <v>45351</v>
      </c>
      <c r="C28" s="1" t="n">
        <v>45899</v>
      </c>
      <c r="D28" t="inlineStr">
        <is>
          <t>VÄSTERBOTTENS LÄN</t>
        </is>
      </c>
      <c r="E28" t="inlineStr">
        <is>
          <t>NORSJÖ</t>
        </is>
      </c>
      <c r="G28" t="n">
        <v>20.4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HYPERLINK("https://klasma.github.io/Logging_2417/artfynd/A 8159-2024 artfynd.xlsx", "A 8159-2024")</f>
        <v/>
      </c>
      <c r="T28">
        <f>HYPERLINK("https://klasma.github.io/Logging_2417/kartor/A 8159-2024 karta.png", "A 8159-2024")</f>
        <v/>
      </c>
      <c r="V28">
        <f>HYPERLINK("https://klasma.github.io/Logging_2417/klagomål/A 8159-2024 FSC-klagomål.docx", "A 8159-2024")</f>
        <v/>
      </c>
      <c r="W28">
        <f>HYPERLINK("https://klasma.github.io/Logging_2417/klagomålsmail/A 8159-2024 FSC-klagomål mail.docx", "A 8159-2024")</f>
        <v/>
      </c>
      <c r="X28">
        <f>HYPERLINK("https://klasma.github.io/Logging_2417/tillsyn/A 8159-2024 tillsynsbegäran.docx", "A 8159-2024")</f>
        <v/>
      </c>
      <c r="Y28">
        <f>HYPERLINK("https://klasma.github.io/Logging_2417/tillsynsmail/A 8159-2024 tillsynsbegäran mail.docx", "A 8159-2024")</f>
        <v/>
      </c>
    </row>
    <row r="29" ht="15" customHeight="1">
      <c r="A29" t="inlineStr">
        <is>
          <t>A 45438-2024</t>
        </is>
      </c>
      <c r="B29" s="1" t="n">
        <v>45576</v>
      </c>
      <c r="C29" s="1" t="n">
        <v>45899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45438-2024 artfynd.xlsx", "A 45438-2024")</f>
        <v/>
      </c>
      <c r="T29">
        <f>HYPERLINK("https://klasma.github.io/Logging_2417/kartor/A 45438-2024 karta.png", "A 45438-2024")</f>
        <v/>
      </c>
      <c r="V29">
        <f>HYPERLINK("https://klasma.github.io/Logging_2417/klagomål/A 45438-2024 FSC-klagomål.docx", "A 45438-2024")</f>
        <v/>
      </c>
      <c r="W29">
        <f>HYPERLINK("https://klasma.github.io/Logging_2417/klagomålsmail/A 45438-2024 FSC-klagomål mail.docx", "A 45438-2024")</f>
        <v/>
      </c>
      <c r="X29">
        <f>HYPERLINK("https://klasma.github.io/Logging_2417/tillsyn/A 45438-2024 tillsynsbegäran.docx", "A 45438-2024")</f>
        <v/>
      </c>
      <c r="Y29">
        <f>HYPERLINK("https://klasma.github.io/Logging_2417/tillsynsmail/A 45438-2024 tillsynsbegäran mail.docx", "A 45438-2024")</f>
        <v/>
      </c>
    </row>
    <row r="30" ht="15" customHeight="1">
      <c r="A30" t="inlineStr">
        <is>
          <t>A 31162-2025</t>
        </is>
      </c>
      <c r="B30" s="1" t="n">
        <v>45832.65657407408</v>
      </c>
      <c r="C30" s="1" t="n">
        <v>45899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31162-2025 artfynd.xlsx", "A 31162-2025")</f>
        <v/>
      </c>
      <c r="T30">
        <f>HYPERLINK("https://klasma.github.io/Logging_2417/kartor/A 31162-2025 karta.png", "A 31162-2025")</f>
        <v/>
      </c>
      <c r="V30">
        <f>HYPERLINK("https://klasma.github.io/Logging_2417/klagomål/A 31162-2025 FSC-klagomål.docx", "A 31162-2025")</f>
        <v/>
      </c>
      <c r="W30">
        <f>HYPERLINK("https://klasma.github.io/Logging_2417/klagomålsmail/A 31162-2025 FSC-klagomål mail.docx", "A 31162-2025")</f>
        <v/>
      </c>
      <c r="X30">
        <f>HYPERLINK("https://klasma.github.io/Logging_2417/tillsyn/A 31162-2025 tillsynsbegäran.docx", "A 31162-2025")</f>
        <v/>
      </c>
      <c r="Y30">
        <f>HYPERLINK("https://klasma.github.io/Logging_2417/tillsynsmail/A 31162-2025 tillsynsbegäran mail.docx", "A 31162-2025")</f>
        <v/>
      </c>
    </row>
    <row r="31" ht="15" customHeight="1">
      <c r="A31" t="inlineStr">
        <is>
          <t>A 59767-2024</t>
        </is>
      </c>
      <c r="B31" s="1" t="n">
        <v>45639.56111111111</v>
      </c>
      <c r="C31" s="1" t="n">
        <v>45899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59767-2024 artfynd.xlsx", "A 59767-2024")</f>
        <v/>
      </c>
      <c r="T31">
        <f>HYPERLINK("https://klasma.github.io/Logging_2417/kartor/A 59767-2024 karta.png", "A 59767-2024")</f>
        <v/>
      </c>
      <c r="V31">
        <f>HYPERLINK("https://klasma.github.io/Logging_2417/klagomål/A 59767-2024 FSC-klagomål.docx", "A 59767-2024")</f>
        <v/>
      </c>
      <c r="W31">
        <f>HYPERLINK("https://klasma.github.io/Logging_2417/klagomålsmail/A 59767-2024 FSC-klagomål mail.docx", "A 59767-2024")</f>
        <v/>
      </c>
      <c r="X31">
        <f>HYPERLINK("https://klasma.github.io/Logging_2417/tillsyn/A 59767-2024 tillsynsbegäran.docx", "A 59767-2024")</f>
        <v/>
      </c>
      <c r="Y31">
        <f>HYPERLINK("https://klasma.github.io/Logging_2417/tillsynsmail/A 59767-2024 tillsynsbegäran mail.docx", "A 59767-2024")</f>
        <v/>
      </c>
    </row>
    <row r="32" ht="15" customHeight="1">
      <c r="A32" t="inlineStr">
        <is>
          <t>A 39289-2025</t>
        </is>
      </c>
      <c r="B32" s="1" t="n">
        <v>45889.40774305556</v>
      </c>
      <c r="C32" s="1" t="n">
        <v>45899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21.4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HYPERLINK("https://klasma.github.io/Logging_2417/artfynd/A 39289-2025 artfynd.xlsx", "A 39289-2025")</f>
        <v/>
      </c>
      <c r="T32">
        <f>HYPERLINK("https://klasma.github.io/Logging_2417/kartor/A 39289-2025 karta.png", "A 39289-2025")</f>
        <v/>
      </c>
      <c r="V32">
        <f>HYPERLINK("https://klasma.github.io/Logging_2417/klagomål/A 39289-2025 FSC-klagomål.docx", "A 39289-2025")</f>
        <v/>
      </c>
      <c r="W32">
        <f>HYPERLINK("https://klasma.github.io/Logging_2417/klagomålsmail/A 39289-2025 FSC-klagomål mail.docx", "A 39289-2025")</f>
        <v/>
      </c>
      <c r="X32">
        <f>HYPERLINK("https://klasma.github.io/Logging_2417/tillsyn/A 39289-2025 tillsynsbegäran.docx", "A 39289-2025")</f>
        <v/>
      </c>
      <c r="Y32">
        <f>HYPERLINK("https://klasma.github.io/Logging_2417/tillsynsmail/A 39289-2025 tillsynsbegäran mail.docx", "A 39289-2025")</f>
        <v/>
      </c>
    </row>
    <row r="33" ht="15" customHeight="1">
      <c r="A33" t="inlineStr">
        <is>
          <t>A 39293-2025</t>
        </is>
      </c>
      <c r="B33" s="1" t="n">
        <v>45889.41836805556</v>
      </c>
      <c r="C33" s="1" t="n">
        <v>45899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12.6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39293-2025 artfynd.xlsx", "A 39293-2025")</f>
        <v/>
      </c>
      <c r="T33">
        <f>HYPERLINK("https://klasma.github.io/Logging_2417/kartor/A 39293-2025 karta.png", "A 39293-2025")</f>
        <v/>
      </c>
      <c r="V33">
        <f>HYPERLINK("https://klasma.github.io/Logging_2417/klagomål/A 39293-2025 FSC-klagomål.docx", "A 39293-2025")</f>
        <v/>
      </c>
      <c r="W33">
        <f>HYPERLINK("https://klasma.github.io/Logging_2417/klagomålsmail/A 39293-2025 FSC-klagomål mail.docx", "A 39293-2025")</f>
        <v/>
      </c>
      <c r="X33">
        <f>HYPERLINK("https://klasma.github.io/Logging_2417/tillsyn/A 39293-2025 tillsynsbegäran.docx", "A 39293-2025")</f>
        <v/>
      </c>
      <c r="Y33">
        <f>HYPERLINK("https://klasma.github.io/Logging_2417/tillsynsmail/A 39293-2025 tillsynsbegäran mail.docx", "A 39293-2025")</f>
        <v/>
      </c>
    </row>
    <row r="34" ht="15" customHeight="1">
      <c r="A34" t="inlineStr">
        <is>
          <t>A 55328-2024</t>
        </is>
      </c>
      <c r="B34" s="1" t="n">
        <v>45621.67853009259</v>
      </c>
      <c r="C34" s="1" t="n">
        <v>45899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HYPERLINK("https://klasma.github.io/Logging_2417/artfynd/A 55328-2024 artfynd.xlsx", "A 55328-2024")</f>
        <v/>
      </c>
      <c r="T34">
        <f>HYPERLINK("https://klasma.github.io/Logging_2417/kartor/A 55328-2024 karta.png", "A 55328-2024")</f>
        <v/>
      </c>
      <c r="V34">
        <f>HYPERLINK("https://klasma.github.io/Logging_2417/klagomål/A 55328-2024 FSC-klagomål.docx", "A 55328-2024")</f>
        <v/>
      </c>
      <c r="W34">
        <f>HYPERLINK("https://klasma.github.io/Logging_2417/klagomålsmail/A 55328-2024 FSC-klagomål mail.docx", "A 55328-2024")</f>
        <v/>
      </c>
      <c r="X34">
        <f>HYPERLINK("https://klasma.github.io/Logging_2417/tillsyn/A 55328-2024 tillsynsbegäran.docx", "A 55328-2024")</f>
        <v/>
      </c>
      <c r="Y34">
        <f>HYPERLINK("https://klasma.github.io/Logging_2417/tillsynsmail/A 55328-2024 tillsynsbegäran mail.docx", "A 55328-2024")</f>
        <v/>
      </c>
    </row>
    <row r="35" ht="15" customHeight="1">
      <c r="A35" t="inlineStr">
        <is>
          <t>A 46666-2024</t>
        </is>
      </c>
      <c r="B35" s="1" t="n">
        <v>45583.37048611111</v>
      </c>
      <c r="C35" s="1" t="n">
        <v>45899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HYPERLINK("https://klasma.github.io/Logging_2417/artfynd/A 46666-2024 artfynd.xlsx", "A 46666-2024")</f>
        <v/>
      </c>
      <c r="T35">
        <f>HYPERLINK("https://klasma.github.io/Logging_2417/kartor/A 46666-2024 karta.png", "A 46666-2024")</f>
        <v/>
      </c>
      <c r="V35">
        <f>HYPERLINK("https://klasma.github.io/Logging_2417/klagomål/A 46666-2024 FSC-klagomål.docx", "A 46666-2024")</f>
        <v/>
      </c>
      <c r="W35">
        <f>HYPERLINK("https://klasma.github.io/Logging_2417/klagomålsmail/A 46666-2024 FSC-klagomål mail.docx", "A 46666-2024")</f>
        <v/>
      </c>
      <c r="X35">
        <f>HYPERLINK("https://klasma.github.io/Logging_2417/tillsyn/A 46666-2024 tillsynsbegäran.docx", "A 46666-2024")</f>
        <v/>
      </c>
      <c r="Y35">
        <f>HYPERLINK("https://klasma.github.io/Logging_2417/tillsynsmail/A 46666-2024 tillsynsbegäran mail.docx", "A 46666-2024")</f>
        <v/>
      </c>
    </row>
    <row r="36" ht="15" customHeight="1">
      <c r="A36" t="inlineStr">
        <is>
          <t>A 33763-2024</t>
        </is>
      </c>
      <c r="B36" s="1" t="n">
        <v>45520.57005787037</v>
      </c>
      <c r="C36" s="1" t="n">
        <v>45899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HYPERLINK("https://klasma.github.io/Logging_2417/artfynd/A 33763-2024 artfynd.xlsx", "A 33763-2024")</f>
        <v/>
      </c>
      <c r="T36">
        <f>HYPERLINK("https://klasma.github.io/Logging_2417/kartor/A 33763-2024 karta.png", "A 33763-2024")</f>
        <v/>
      </c>
      <c r="V36">
        <f>HYPERLINK("https://klasma.github.io/Logging_2417/klagomål/A 33763-2024 FSC-klagomål.docx", "A 33763-2024")</f>
        <v/>
      </c>
      <c r="W36">
        <f>HYPERLINK("https://klasma.github.io/Logging_2417/klagomålsmail/A 33763-2024 FSC-klagomål mail.docx", "A 33763-2024")</f>
        <v/>
      </c>
      <c r="X36">
        <f>HYPERLINK("https://klasma.github.io/Logging_2417/tillsyn/A 33763-2024 tillsynsbegäran.docx", "A 33763-2024")</f>
        <v/>
      </c>
      <c r="Y36">
        <f>HYPERLINK("https://klasma.github.io/Logging_2417/tillsynsmail/A 33763-2024 tillsynsbegäran mail.docx", "A 33763-2024")</f>
        <v/>
      </c>
    </row>
    <row r="37" ht="15" customHeight="1">
      <c r="A37" t="inlineStr">
        <is>
          <t>A 55389-2024</t>
        </is>
      </c>
      <c r="B37" s="1" t="n">
        <v>45622.33753472222</v>
      </c>
      <c r="C37" s="1" t="n">
        <v>45899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55389-2024 artfynd.xlsx", "A 55389-2024")</f>
        <v/>
      </c>
      <c r="T37">
        <f>HYPERLINK("https://klasma.github.io/Logging_2417/kartor/A 55389-2024 karta.png", "A 55389-2024")</f>
        <v/>
      </c>
      <c r="V37">
        <f>HYPERLINK("https://klasma.github.io/Logging_2417/klagomål/A 55389-2024 FSC-klagomål.docx", "A 55389-2024")</f>
        <v/>
      </c>
      <c r="W37">
        <f>HYPERLINK("https://klasma.github.io/Logging_2417/klagomålsmail/A 55389-2024 FSC-klagomål mail.docx", "A 55389-2024")</f>
        <v/>
      </c>
      <c r="X37">
        <f>HYPERLINK("https://klasma.github.io/Logging_2417/tillsyn/A 55389-2024 tillsynsbegäran.docx", "A 55389-2024")</f>
        <v/>
      </c>
      <c r="Y37">
        <f>HYPERLINK("https://klasma.github.io/Logging_2417/tillsynsmail/A 55389-2024 tillsynsbegäran mail.docx", "A 55389-2024")</f>
        <v/>
      </c>
    </row>
    <row r="38" ht="15" customHeight="1">
      <c r="A38" t="inlineStr">
        <is>
          <t>A 42253-2022</t>
        </is>
      </c>
      <c r="B38" s="1" t="n">
        <v>44830.92861111111</v>
      </c>
      <c r="C38" s="1" t="n">
        <v>45899</v>
      </c>
      <c r="D38" t="inlineStr">
        <is>
          <t>VÄSTERBOTTENS LÄN</t>
        </is>
      </c>
      <c r="E38" t="inlineStr">
        <is>
          <t>NORSJÖ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10421-2021</t>
        </is>
      </c>
      <c r="B39" s="1" t="n">
        <v>44257</v>
      </c>
      <c r="C39" s="1" t="n">
        <v>45899</v>
      </c>
      <c r="D39" t="inlineStr">
        <is>
          <t>VÄSTERBOTTENS LÄN</t>
        </is>
      </c>
      <c r="E39" t="inlineStr">
        <is>
          <t>NORSJÖ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33261-2021</t>
        </is>
      </c>
      <c r="B40" s="1" t="n">
        <v>44376</v>
      </c>
      <c r="C40" s="1" t="n">
        <v>45899</v>
      </c>
      <c r="D40" t="inlineStr">
        <is>
          <t>VÄSTERBOTTENS LÄN</t>
        </is>
      </c>
      <c r="E40" t="inlineStr">
        <is>
          <t>NORSJÖ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51682-2021</t>
        </is>
      </c>
      <c r="B41" s="1" t="n">
        <v>44462.53556712963</v>
      </c>
      <c r="C41" s="1" t="n">
        <v>45899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6901-2022</t>
        </is>
      </c>
      <c r="B42" s="1" t="n">
        <v>44602.92150462963</v>
      </c>
      <c r="C42" s="1" t="n">
        <v>45899</v>
      </c>
      <c r="D42" t="inlineStr">
        <is>
          <t>VÄSTERBOTTENS LÄN</t>
        </is>
      </c>
      <c r="E42" t="inlineStr">
        <is>
          <t>NORSJÖ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32006-2021</t>
        </is>
      </c>
      <c r="B43" s="1" t="n">
        <v>44370.62300925926</v>
      </c>
      <c r="C43" s="1" t="n">
        <v>45899</v>
      </c>
      <c r="D43" t="inlineStr">
        <is>
          <t>VÄSTERBOTTENS LÄN</t>
        </is>
      </c>
      <c r="E43" t="inlineStr">
        <is>
          <t>NORSJÖ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32661-2021</t>
        </is>
      </c>
      <c r="B44" s="1" t="n">
        <v>44375</v>
      </c>
      <c r="C44" s="1" t="n">
        <v>45899</v>
      </c>
      <c r="D44" t="inlineStr">
        <is>
          <t>VÄSTERBOTTENS LÄN</t>
        </is>
      </c>
      <c r="E44" t="inlineStr">
        <is>
          <t>NORSJÖ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52939-2020</t>
        </is>
      </c>
      <c r="B45" s="1" t="n">
        <v>44119</v>
      </c>
      <c r="C45" s="1" t="n">
        <v>45899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29923-2021</t>
        </is>
      </c>
      <c r="B46" s="1" t="n">
        <v>44362</v>
      </c>
      <c r="C46" s="1" t="n">
        <v>45899</v>
      </c>
      <c r="D46" t="inlineStr">
        <is>
          <t>VÄSTERBOTTENS LÄN</t>
        </is>
      </c>
      <c r="E46" t="inlineStr">
        <is>
          <t>NORSJÖ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52329-2022</t>
        </is>
      </c>
      <c r="B47" s="1" t="n">
        <v>44873.92929398148</v>
      </c>
      <c r="C47" s="1" t="n">
        <v>45899</v>
      </c>
      <c r="D47" t="inlineStr">
        <is>
          <t>VÄSTERBOTTENS LÄN</t>
        </is>
      </c>
      <c r="E47" t="inlineStr">
        <is>
          <t>NORSJÖ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52330-2022</t>
        </is>
      </c>
      <c r="B48" s="1" t="n">
        <v>44873</v>
      </c>
      <c r="C48" s="1" t="n">
        <v>45899</v>
      </c>
      <c r="D48" t="inlineStr">
        <is>
          <t>VÄSTERBOTTENS LÄN</t>
        </is>
      </c>
      <c r="E48" t="inlineStr">
        <is>
          <t>NORSJÖ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72590-2021</t>
        </is>
      </c>
      <c r="B49" s="1" t="n">
        <v>44546.4796875</v>
      </c>
      <c r="C49" s="1" t="n">
        <v>45899</v>
      </c>
      <c r="D49" t="inlineStr">
        <is>
          <t>VÄSTERBOTTENS LÄN</t>
        </is>
      </c>
      <c r="E49" t="inlineStr">
        <is>
          <t>NORSJÖ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52552-2021</t>
        </is>
      </c>
      <c r="B50" s="1" t="n">
        <v>44466</v>
      </c>
      <c r="C50" s="1" t="n">
        <v>45899</v>
      </c>
      <c r="D50" t="inlineStr">
        <is>
          <t>VÄSTERBOTTENS LÄN</t>
        </is>
      </c>
      <c r="E50" t="inlineStr">
        <is>
          <t>NORSJÖ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29922-2021</t>
        </is>
      </c>
      <c r="B51" s="1" t="n">
        <v>44362</v>
      </c>
      <c r="C51" s="1" t="n">
        <v>45899</v>
      </c>
      <c r="D51" t="inlineStr">
        <is>
          <t>VÄSTERBOTTENS LÄN</t>
        </is>
      </c>
      <c r="E51" t="inlineStr">
        <is>
          <t>NORSJÖ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27563-2022</t>
        </is>
      </c>
      <c r="B52" s="1" t="n">
        <v>44742.92701388889</v>
      </c>
      <c r="C52" s="1" t="n">
        <v>45899</v>
      </c>
      <c r="D52" t="inlineStr">
        <is>
          <t>VÄSTERBOTTENS LÄN</t>
        </is>
      </c>
      <c r="E52" t="inlineStr">
        <is>
          <t>NORSJÖ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9061-2022</t>
        </is>
      </c>
      <c r="B53" s="1" t="n">
        <v>44615</v>
      </c>
      <c r="C53" s="1" t="n">
        <v>45899</v>
      </c>
      <c r="D53" t="inlineStr">
        <is>
          <t>VÄSTERBOTTENS LÄN</t>
        </is>
      </c>
      <c r="E53" t="inlineStr">
        <is>
          <t>NORSJÖ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51491-2022</t>
        </is>
      </c>
      <c r="B54" s="1" t="n">
        <v>44869</v>
      </c>
      <c r="C54" s="1" t="n">
        <v>45899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61196-2020</t>
        </is>
      </c>
      <c r="B55" s="1" t="n">
        <v>44155.39024305555</v>
      </c>
      <c r="C55" s="1" t="n">
        <v>45899</v>
      </c>
      <c r="D55" t="inlineStr">
        <is>
          <t>VÄSTERBOTTENS LÄN</t>
        </is>
      </c>
      <c r="E55" t="inlineStr">
        <is>
          <t>NORSJÖ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34883-2021</t>
        </is>
      </c>
      <c r="B56" s="1" t="n">
        <v>44382</v>
      </c>
      <c r="C56" s="1" t="n">
        <v>45899</v>
      </c>
      <c r="D56" t="inlineStr">
        <is>
          <t>VÄSTERBOTTENS LÄN</t>
        </is>
      </c>
      <c r="E56" t="inlineStr">
        <is>
          <t>NORSJÖ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58005-2021</t>
        </is>
      </c>
      <c r="B57" s="1" t="n">
        <v>44487.42274305555</v>
      </c>
      <c r="C57" s="1" t="n">
        <v>45899</v>
      </c>
      <c r="D57" t="inlineStr">
        <is>
          <t>VÄSTERBOTTENS LÄN</t>
        </is>
      </c>
      <c r="E57" t="inlineStr">
        <is>
          <t>NORSJÖ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54388-2021</t>
        </is>
      </c>
      <c r="B58" s="1" t="n">
        <v>44470</v>
      </c>
      <c r="C58" s="1" t="n">
        <v>45899</v>
      </c>
      <c r="D58" t="inlineStr">
        <is>
          <t>VÄSTERBOTTENS LÄN</t>
        </is>
      </c>
      <c r="E58" t="inlineStr">
        <is>
          <t>NORSJÖ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51995-2022</t>
        </is>
      </c>
      <c r="B59" s="1" t="n">
        <v>44872.92878472222</v>
      </c>
      <c r="C59" s="1" t="n">
        <v>45899</v>
      </c>
      <c r="D59" t="inlineStr">
        <is>
          <t>VÄSTERBOTTENS LÄN</t>
        </is>
      </c>
      <c r="E59" t="inlineStr">
        <is>
          <t>NORSJÖ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45899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59031-2020</t>
        </is>
      </c>
      <c r="B61" s="1" t="n">
        <v>44147</v>
      </c>
      <c r="C61" s="1" t="n">
        <v>45899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39988-2022</t>
        </is>
      </c>
      <c r="B62" s="1" t="n">
        <v>44820</v>
      </c>
      <c r="C62" s="1" t="n">
        <v>45899</v>
      </c>
      <c r="D62" t="inlineStr">
        <is>
          <t>VÄSTERBOTTENS LÄN</t>
        </is>
      </c>
      <c r="E62" t="inlineStr">
        <is>
          <t>NORSJÖ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53624-2022</t>
        </is>
      </c>
      <c r="B63" s="1" t="n">
        <v>44879.82162037037</v>
      </c>
      <c r="C63" s="1" t="n">
        <v>45899</v>
      </c>
      <c r="D63" t="inlineStr">
        <is>
          <t>VÄSTERBOTTENS LÄN</t>
        </is>
      </c>
      <c r="E63" t="inlineStr">
        <is>
          <t>NORSJÖ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55741-2021</t>
        </is>
      </c>
      <c r="B64" s="1" t="n">
        <v>44476.49274305555</v>
      </c>
      <c r="C64" s="1" t="n">
        <v>45899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46090-2022</t>
        </is>
      </c>
      <c r="B65" s="1" t="n">
        <v>44844</v>
      </c>
      <c r="C65" s="1" t="n">
        <v>45899</v>
      </c>
      <c r="D65" t="inlineStr">
        <is>
          <t>VÄSTERBOTTENS LÄN</t>
        </is>
      </c>
      <c r="E65" t="inlineStr">
        <is>
          <t>NORSJÖ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7025-2021</t>
        </is>
      </c>
      <c r="B66" s="1" t="n">
        <v>44237</v>
      </c>
      <c r="C66" s="1" t="n">
        <v>45899</v>
      </c>
      <c r="D66" t="inlineStr">
        <is>
          <t>VÄSTERBOTTENS LÄN</t>
        </is>
      </c>
      <c r="E66" t="inlineStr">
        <is>
          <t>NORSJÖ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33249-2021</t>
        </is>
      </c>
      <c r="B67" s="1" t="n">
        <v>44376</v>
      </c>
      <c r="C67" s="1" t="n">
        <v>45899</v>
      </c>
      <c r="D67" t="inlineStr">
        <is>
          <t>VÄSTERBOTTENS LÄN</t>
        </is>
      </c>
      <c r="E67" t="inlineStr">
        <is>
          <t>NORSJÖ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49173-2021</t>
        </is>
      </c>
      <c r="B68" s="1" t="n">
        <v>44453</v>
      </c>
      <c r="C68" s="1" t="n">
        <v>45899</v>
      </c>
      <c r="D68" t="inlineStr">
        <is>
          <t>VÄSTERBOTTENS LÄN</t>
        </is>
      </c>
      <c r="E68" t="inlineStr">
        <is>
          <t>NORSJÖ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18861-2021</t>
        </is>
      </c>
      <c r="B69" s="1" t="n">
        <v>44307.91818287037</v>
      </c>
      <c r="C69" s="1" t="n">
        <v>45899</v>
      </c>
      <c r="D69" t="inlineStr">
        <is>
          <t>VÄSTERBOTTENS LÄN</t>
        </is>
      </c>
      <c r="E69" t="inlineStr">
        <is>
          <t>NORSJÖ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15889-2021</t>
        </is>
      </c>
      <c r="B70" s="1" t="n">
        <v>44286.92057870371</v>
      </c>
      <c r="C70" s="1" t="n">
        <v>45899</v>
      </c>
      <c r="D70" t="inlineStr">
        <is>
          <t>VÄSTERBOTTENS LÄN</t>
        </is>
      </c>
      <c r="E70" t="inlineStr">
        <is>
          <t>NORSJÖ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51493-2022</t>
        </is>
      </c>
      <c r="B71" s="1" t="n">
        <v>44869</v>
      </c>
      <c r="C71" s="1" t="n">
        <v>45899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39558-2022</t>
        </is>
      </c>
      <c r="B72" s="1" t="n">
        <v>44818.56847222222</v>
      </c>
      <c r="C72" s="1" t="n">
        <v>45899</v>
      </c>
      <c r="D72" t="inlineStr">
        <is>
          <t>VÄSTERBOTTENS LÄN</t>
        </is>
      </c>
      <c r="E72" t="inlineStr">
        <is>
          <t>NORSJÖ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41250-2021</t>
        </is>
      </c>
      <c r="B73" s="1" t="n">
        <v>44424</v>
      </c>
      <c r="C73" s="1" t="n">
        <v>45899</v>
      </c>
      <c r="D73" t="inlineStr">
        <is>
          <t>VÄSTERBOTTENS LÄN</t>
        </is>
      </c>
      <c r="E73" t="inlineStr">
        <is>
          <t>NORSJÖ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2148-2021</t>
        </is>
      </c>
      <c r="B74" s="1" t="n">
        <v>44211</v>
      </c>
      <c r="C74" s="1" t="n">
        <v>45899</v>
      </c>
      <c r="D74" t="inlineStr">
        <is>
          <t>VÄSTERBOTTENS LÄN</t>
        </is>
      </c>
      <c r="E74" t="inlineStr">
        <is>
          <t>NORSJÖ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56717-2022</t>
        </is>
      </c>
      <c r="B75" s="1" t="n">
        <v>44893.92833333334</v>
      </c>
      <c r="C75" s="1" t="n">
        <v>45899</v>
      </c>
      <c r="D75" t="inlineStr">
        <is>
          <t>VÄSTERBOTTENS LÄN</t>
        </is>
      </c>
      <c r="E75" t="inlineStr">
        <is>
          <t>NORSJÖ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16233-2025</t>
        </is>
      </c>
      <c r="B76" s="1" t="n">
        <v>45750.65672453704</v>
      </c>
      <c r="C76" s="1" t="n">
        <v>45899</v>
      </c>
      <c r="D76" t="inlineStr">
        <is>
          <t>VÄSTERBOTTENS LÄN</t>
        </is>
      </c>
      <c r="E76" t="inlineStr">
        <is>
          <t>NORSJÖ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48765-2023</t>
        </is>
      </c>
      <c r="B77" s="1" t="n">
        <v>45208.94865740741</v>
      </c>
      <c r="C77" s="1" t="n">
        <v>45899</v>
      </c>
      <c r="D77" t="inlineStr">
        <is>
          <t>VÄSTERBOTTENS LÄN</t>
        </is>
      </c>
      <c r="E77" t="inlineStr">
        <is>
          <t>NORSJÖ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55157-2024</t>
        </is>
      </c>
      <c r="B78" s="1" t="n">
        <v>45618</v>
      </c>
      <c r="C78" s="1" t="n">
        <v>45899</v>
      </c>
      <c r="D78" t="inlineStr">
        <is>
          <t>VÄSTERBOTTENS LÄN</t>
        </is>
      </c>
      <c r="E78" t="inlineStr">
        <is>
          <t>NORSJÖ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39736-2024</t>
        </is>
      </c>
      <c r="B79" s="1" t="n">
        <v>45552.64715277778</v>
      </c>
      <c r="C79" s="1" t="n">
        <v>45899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10134-2025</t>
        </is>
      </c>
      <c r="B80" s="1" t="n">
        <v>45719</v>
      </c>
      <c r="C80" s="1" t="n">
        <v>45899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51197-2023</t>
        </is>
      </c>
      <c r="B81" s="1" t="n">
        <v>45219.41938657407</v>
      </c>
      <c r="C81" s="1" t="n">
        <v>45899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50730-2022</t>
        </is>
      </c>
      <c r="B82" s="1" t="n">
        <v>44867</v>
      </c>
      <c r="C82" s="1" t="n">
        <v>45899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24763-2023</t>
        </is>
      </c>
      <c r="B83" s="1" t="n">
        <v>45084.63084490741</v>
      </c>
      <c r="C83" s="1" t="n">
        <v>45899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35935-2024</t>
        </is>
      </c>
      <c r="B84" s="1" t="n">
        <v>45533.45237268518</v>
      </c>
      <c r="C84" s="1" t="n">
        <v>45899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4482-2024</t>
        </is>
      </c>
      <c r="B85" s="1" t="n">
        <v>45327</v>
      </c>
      <c r="C85" s="1" t="n">
        <v>45899</v>
      </c>
      <c r="D85" t="inlineStr">
        <is>
          <t>VÄSTERBOTTENS LÄN</t>
        </is>
      </c>
      <c r="E85" t="inlineStr">
        <is>
          <t>NORSJÖ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46643-2024</t>
        </is>
      </c>
      <c r="B86" s="1" t="n">
        <v>45583.34958333334</v>
      </c>
      <c r="C86" s="1" t="n">
        <v>45899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41646-2023</t>
        </is>
      </c>
      <c r="B87" s="1" t="n">
        <v>45175.92457175926</v>
      </c>
      <c r="C87" s="1" t="n">
        <v>45899</v>
      </c>
      <c r="D87" t="inlineStr">
        <is>
          <t>VÄSTERBOTTENS LÄN</t>
        </is>
      </c>
      <c r="E87" t="inlineStr">
        <is>
          <t>NORSJÖ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3891-2021</t>
        </is>
      </c>
      <c r="B88" s="1" t="n">
        <v>44222</v>
      </c>
      <c r="C88" s="1" t="n">
        <v>45899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55929-2024</t>
        </is>
      </c>
      <c r="B89" s="1" t="n">
        <v>45623.60400462963</v>
      </c>
      <c r="C89" s="1" t="n">
        <v>45899</v>
      </c>
      <c r="D89" t="inlineStr">
        <is>
          <t>VÄSTERBOTTENS LÄN</t>
        </is>
      </c>
      <c r="E89" t="inlineStr">
        <is>
          <t>NORSJÖ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55936-2024</t>
        </is>
      </c>
      <c r="B90" s="1" t="n">
        <v>45623.60804398148</v>
      </c>
      <c r="C90" s="1" t="n">
        <v>45899</v>
      </c>
      <c r="D90" t="inlineStr">
        <is>
          <t>VÄSTERBOTTENS LÄN</t>
        </is>
      </c>
      <c r="E90" t="inlineStr">
        <is>
          <t>NORSJÖ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53105-2022</t>
        </is>
      </c>
      <c r="B91" s="1" t="n">
        <v>44876</v>
      </c>
      <c r="C91" s="1" t="n">
        <v>45899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15198-2023</t>
        </is>
      </c>
      <c r="B92" s="1" t="n">
        <v>45016</v>
      </c>
      <c r="C92" s="1" t="n">
        <v>45899</v>
      </c>
      <c r="D92" t="inlineStr">
        <is>
          <t>VÄSTERBOTTENS LÄN</t>
        </is>
      </c>
      <c r="E92" t="inlineStr">
        <is>
          <t>NORSJÖ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11531-2024</t>
        </is>
      </c>
      <c r="B93" s="1" t="n">
        <v>45372.92850694444</v>
      </c>
      <c r="C93" s="1" t="n">
        <v>45899</v>
      </c>
      <c r="D93" t="inlineStr">
        <is>
          <t>VÄSTERBOTTENS LÄN</t>
        </is>
      </c>
      <c r="E93" t="inlineStr">
        <is>
          <t>NORSJÖ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16229-2025</t>
        </is>
      </c>
      <c r="B94" s="1" t="n">
        <v>45750.65299768518</v>
      </c>
      <c r="C94" s="1" t="n">
        <v>45899</v>
      </c>
      <c r="D94" t="inlineStr">
        <is>
          <t>VÄSTERBOTTENS LÄN</t>
        </is>
      </c>
      <c r="E94" t="inlineStr">
        <is>
          <t>NORSJÖ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16232-2025</t>
        </is>
      </c>
      <c r="B95" s="1" t="n">
        <v>45750.65483796296</v>
      </c>
      <c r="C95" s="1" t="n">
        <v>45899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26926-2024</t>
        </is>
      </c>
      <c r="B96" s="1" t="n">
        <v>45470</v>
      </c>
      <c r="C96" s="1" t="n">
        <v>45899</v>
      </c>
      <c r="D96" t="inlineStr">
        <is>
          <t>VÄSTERBOTTENS LÄN</t>
        </is>
      </c>
      <c r="E96" t="inlineStr">
        <is>
          <t>NORSJÖ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37252-2024</t>
        </is>
      </c>
      <c r="B97" s="1" t="n">
        <v>45540.3612037037</v>
      </c>
      <c r="C97" s="1" t="n">
        <v>45899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35630-2023</t>
        </is>
      </c>
      <c r="B98" s="1" t="n">
        <v>45147</v>
      </c>
      <c r="C98" s="1" t="n">
        <v>45899</v>
      </c>
      <c r="D98" t="inlineStr">
        <is>
          <t>VÄSTERBOTTENS LÄN</t>
        </is>
      </c>
      <c r="E98" t="inlineStr">
        <is>
          <t>NORSJÖ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19313-2024</t>
        </is>
      </c>
      <c r="B99" s="1" t="n">
        <v>45428</v>
      </c>
      <c r="C99" s="1" t="n">
        <v>45899</v>
      </c>
      <c r="D99" t="inlineStr">
        <is>
          <t>VÄSTERBOTTENS LÄN</t>
        </is>
      </c>
      <c r="E99" t="inlineStr">
        <is>
          <t>NORSJÖ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36473-2024</t>
        </is>
      </c>
      <c r="B100" s="1" t="n">
        <v>45537.36001157408</v>
      </c>
      <c r="C100" s="1" t="n">
        <v>45899</v>
      </c>
      <c r="D100" t="inlineStr">
        <is>
          <t>VÄSTERBOTTENS LÄN</t>
        </is>
      </c>
      <c r="E100" t="inlineStr">
        <is>
          <t>NORSJÖ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73995-2021</t>
        </is>
      </c>
      <c r="B101" s="1" t="n">
        <v>44556.8244212963</v>
      </c>
      <c r="C101" s="1" t="n">
        <v>45899</v>
      </c>
      <c r="D101" t="inlineStr">
        <is>
          <t>VÄSTERBOTTENS LÄN</t>
        </is>
      </c>
      <c r="E101" t="inlineStr">
        <is>
          <t>NORSJÖ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45944-2024</t>
        </is>
      </c>
      <c r="B102" s="1" t="n">
        <v>45580.54452546296</v>
      </c>
      <c r="C102" s="1" t="n">
        <v>45899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14998-2024</t>
        </is>
      </c>
      <c r="B103" s="1" t="n">
        <v>45399.41329861111</v>
      </c>
      <c r="C103" s="1" t="n">
        <v>45899</v>
      </c>
      <c r="D103" t="inlineStr">
        <is>
          <t>VÄSTERBOTTENS LÄN</t>
        </is>
      </c>
      <c r="E103" t="inlineStr">
        <is>
          <t>NORSJÖ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43592-2024</t>
        </is>
      </c>
      <c r="B104" s="1" t="n">
        <v>45569.44123842593</v>
      </c>
      <c r="C104" s="1" t="n">
        <v>45899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46775-2021</t>
        </is>
      </c>
      <c r="B105" s="1" t="n">
        <v>44445.92061342593</v>
      </c>
      <c r="C105" s="1" t="n">
        <v>45899</v>
      </c>
      <c r="D105" t="inlineStr">
        <is>
          <t>VÄSTERBOTTENS LÄN</t>
        </is>
      </c>
      <c r="E105" t="inlineStr">
        <is>
          <t>NORSJÖ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5143-2023</t>
        </is>
      </c>
      <c r="B106" s="1" t="n">
        <v>44958.92283564815</v>
      </c>
      <c r="C106" s="1" t="n">
        <v>45899</v>
      </c>
      <c r="D106" t="inlineStr">
        <is>
          <t>VÄSTERBOTTENS LÄN</t>
        </is>
      </c>
      <c r="E106" t="inlineStr">
        <is>
          <t>NORSJÖ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47399-2022</t>
        </is>
      </c>
      <c r="B107" s="1" t="n">
        <v>44853</v>
      </c>
      <c r="C107" s="1" t="n">
        <v>45899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41890-2022</t>
        </is>
      </c>
      <c r="B108" s="1" t="n">
        <v>44830.32160879629</v>
      </c>
      <c r="C108" s="1" t="n">
        <v>45899</v>
      </c>
      <c r="D108" t="inlineStr">
        <is>
          <t>VÄSTERBOTTENS LÄN</t>
        </is>
      </c>
      <c r="E108" t="inlineStr">
        <is>
          <t>NORSJÖ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17228-2025</t>
        </is>
      </c>
      <c r="B109" s="1" t="n">
        <v>45756.46568287037</v>
      </c>
      <c r="C109" s="1" t="n">
        <v>45899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27898-2023</t>
        </is>
      </c>
      <c r="B110" s="1" t="n">
        <v>45098</v>
      </c>
      <c r="C110" s="1" t="n">
        <v>45899</v>
      </c>
      <c r="D110" t="inlineStr">
        <is>
          <t>VÄSTERBOTTENS LÄN</t>
        </is>
      </c>
      <c r="E110" t="inlineStr">
        <is>
          <t>NORSJÖ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34900-2021</t>
        </is>
      </c>
      <c r="B111" s="1" t="n">
        <v>44383.50582175926</v>
      </c>
      <c r="C111" s="1" t="n">
        <v>45899</v>
      </c>
      <c r="D111" t="inlineStr">
        <is>
          <t>VÄSTERBOTTENS LÄN</t>
        </is>
      </c>
      <c r="E111" t="inlineStr">
        <is>
          <t>NORSJÖ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30027-2024</t>
        </is>
      </c>
      <c r="B112" s="1" t="n">
        <v>45488.65130787037</v>
      </c>
      <c r="C112" s="1" t="n">
        <v>45899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37496-2023</t>
        </is>
      </c>
      <c r="B113" s="1" t="n">
        <v>45157</v>
      </c>
      <c r="C113" s="1" t="n">
        <v>45899</v>
      </c>
      <c r="D113" t="inlineStr">
        <is>
          <t>VÄSTERBOTTENS LÄN</t>
        </is>
      </c>
      <c r="E113" t="inlineStr">
        <is>
          <t>NORSJÖ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37467-2023</t>
        </is>
      </c>
      <c r="B114" s="1" t="n">
        <v>45156</v>
      </c>
      <c r="C114" s="1" t="n">
        <v>45899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53345-2023</t>
        </is>
      </c>
      <c r="B115" s="1" t="n">
        <v>45229.64980324074</v>
      </c>
      <c r="C115" s="1" t="n">
        <v>45899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21906-2025</t>
        </is>
      </c>
      <c r="B116" s="1" t="n">
        <v>45784</v>
      </c>
      <c r="C116" s="1" t="n">
        <v>45899</v>
      </c>
      <c r="D116" t="inlineStr">
        <is>
          <t>VÄSTERBOTTENS LÄN</t>
        </is>
      </c>
      <c r="E116" t="inlineStr">
        <is>
          <t>NORSJÖ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52888-2024</t>
        </is>
      </c>
      <c r="B117" s="1" t="n">
        <v>45610.65859953704</v>
      </c>
      <c r="C117" s="1" t="n">
        <v>45899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38671-2023</t>
        </is>
      </c>
      <c r="B118" s="1" t="n">
        <v>45162</v>
      </c>
      <c r="C118" s="1" t="n">
        <v>45899</v>
      </c>
      <c r="D118" t="inlineStr">
        <is>
          <t>VÄSTERBOTTENS LÄN</t>
        </is>
      </c>
      <c r="E118" t="inlineStr">
        <is>
          <t>NORSJÖ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64179-2021</t>
        </is>
      </c>
      <c r="B119" s="1" t="n">
        <v>44510</v>
      </c>
      <c r="C119" s="1" t="n">
        <v>45899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40754-2023</t>
        </is>
      </c>
      <c r="B120" s="1" t="n">
        <v>45170.92561342593</v>
      </c>
      <c r="C120" s="1" t="n">
        <v>45899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32216-2024</t>
        </is>
      </c>
      <c r="B121" s="1" t="n">
        <v>45511.92706018518</v>
      </c>
      <c r="C121" s="1" t="n">
        <v>45899</v>
      </c>
      <c r="D121" t="inlineStr">
        <is>
          <t>VÄSTERBOTTENS LÄN</t>
        </is>
      </c>
      <c r="E121" t="inlineStr">
        <is>
          <t>NORSJÖ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14826-2025</t>
        </is>
      </c>
      <c r="B122" s="1" t="n">
        <v>45743.36502314815</v>
      </c>
      <c r="C122" s="1" t="n">
        <v>45899</v>
      </c>
      <c r="D122" t="inlineStr">
        <is>
          <t>VÄSTERBOTTENS LÄN</t>
        </is>
      </c>
      <c r="E122" t="inlineStr">
        <is>
          <t>NORSJÖ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18421-2024</t>
        </is>
      </c>
      <c r="B123" s="1" t="n">
        <v>45425.40733796296</v>
      </c>
      <c r="C123" s="1" t="n">
        <v>45899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29121-2024</t>
        </is>
      </c>
      <c r="B124" s="1" t="n">
        <v>45482.30600694445</v>
      </c>
      <c r="C124" s="1" t="n">
        <v>45899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50617-2024</t>
        </is>
      </c>
      <c r="B125" s="1" t="n">
        <v>45601.6375462963</v>
      </c>
      <c r="C125" s="1" t="n">
        <v>45899</v>
      </c>
      <c r="D125" t="inlineStr">
        <is>
          <t>VÄSTERBOTTENS LÄN</t>
        </is>
      </c>
      <c r="E125" t="inlineStr">
        <is>
          <t>NORSJÖ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67226-2020</t>
        </is>
      </c>
      <c r="B126" s="1" t="n">
        <v>44180</v>
      </c>
      <c r="C126" s="1" t="n">
        <v>45899</v>
      </c>
      <c r="D126" t="inlineStr">
        <is>
          <t>VÄSTERBOTTENS LÄN</t>
        </is>
      </c>
      <c r="E126" t="inlineStr">
        <is>
          <t>NORSJÖ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45899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25727-2024</t>
        </is>
      </c>
      <c r="B128" s="1" t="n">
        <v>45464.33021990741</v>
      </c>
      <c r="C128" s="1" t="n">
        <v>45899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52822-2024</t>
        </is>
      </c>
      <c r="B129" s="1" t="n">
        <v>45610.5895949074</v>
      </c>
      <c r="C129" s="1" t="n">
        <v>45899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47220-2024</t>
        </is>
      </c>
      <c r="B130" s="1" t="n">
        <v>45586.66560185186</v>
      </c>
      <c r="C130" s="1" t="n">
        <v>45899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47225-2024</t>
        </is>
      </c>
      <c r="B131" s="1" t="n">
        <v>45586</v>
      </c>
      <c r="C131" s="1" t="n">
        <v>45899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41323-2024</t>
        </is>
      </c>
      <c r="B132" s="1" t="n">
        <v>45559.65309027778</v>
      </c>
      <c r="C132" s="1" t="n">
        <v>45899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9724-2024</t>
        </is>
      </c>
      <c r="B133" s="1" t="n">
        <v>45362</v>
      </c>
      <c r="C133" s="1" t="n">
        <v>45899</v>
      </c>
      <c r="D133" t="inlineStr">
        <is>
          <t>VÄSTERBOTTENS LÄN</t>
        </is>
      </c>
      <c r="E133" t="inlineStr">
        <is>
          <t>NORSJÖ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22551-2025</t>
        </is>
      </c>
      <c r="B134" s="1" t="n">
        <v>45788.65594907408</v>
      </c>
      <c r="C134" s="1" t="n">
        <v>45899</v>
      </c>
      <c r="D134" t="inlineStr">
        <is>
          <t>VÄSTERBOTTENS LÄN</t>
        </is>
      </c>
      <c r="E134" t="inlineStr">
        <is>
          <t>NORSJÖ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24399-2024</t>
        </is>
      </c>
      <c r="B135" s="1" t="n">
        <v>45457.65552083333</v>
      </c>
      <c r="C135" s="1" t="n">
        <v>45899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63368-2023</t>
        </is>
      </c>
      <c r="B136" s="1" t="n">
        <v>45274</v>
      </c>
      <c r="C136" s="1" t="n">
        <v>45899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21746-2024</t>
        </is>
      </c>
      <c r="B137" s="1" t="n">
        <v>45442</v>
      </c>
      <c r="C137" s="1" t="n">
        <v>45899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43848-2023</t>
        </is>
      </c>
      <c r="B138" s="1" t="n">
        <v>45182</v>
      </c>
      <c r="C138" s="1" t="n">
        <v>45899</v>
      </c>
      <c r="D138" t="inlineStr">
        <is>
          <t>VÄSTERBOTTENS LÄN</t>
        </is>
      </c>
      <c r="E138" t="inlineStr">
        <is>
          <t>NORSJÖ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25074-2024</t>
        </is>
      </c>
      <c r="B139" s="1" t="n">
        <v>45462.37814814815</v>
      </c>
      <c r="C139" s="1" t="n">
        <v>45899</v>
      </c>
      <c r="D139" t="inlineStr">
        <is>
          <t>VÄSTERBOTTENS LÄN</t>
        </is>
      </c>
      <c r="E139" t="inlineStr">
        <is>
          <t>NORSJÖ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38776-2023</t>
        </is>
      </c>
      <c r="B140" s="1" t="n">
        <v>45163</v>
      </c>
      <c r="C140" s="1" t="n">
        <v>45899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23523-2025</t>
        </is>
      </c>
      <c r="B141" s="1" t="n">
        <v>45792.51623842592</v>
      </c>
      <c r="C141" s="1" t="n">
        <v>45899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31281-2023</t>
        </is>
      </c>
      <c r="B142" s="1" t="n">
        <v>45114</v>
      </c>
      <c r="C142" s="1" t="n">
        <v>45899</v>
      </c>
      <c r="D142" t="inlineStr">
        <is>
          <t>VÄSTERBOTTENS LÄN</t>
        </is>
      </c>
      <c r="E142" t="inlineStr">
        <is>
          <t>NORSJÖ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45697-2024</t>
        </is>
      </c>
      <c r="B143" s="1" t="n">
        <v>45579.55914351852</v>
      </c>
      <c r="C143" s="1" t="n">
        <v>45899</v>
      </c>
      <c r="D143" t="inlineStr">
        <is>
          <t>VÄSTERBOTTENS LÄN</t>
        </is>
      </c>
      <c r="E143" t="inlineStr">
        <is>
          <t>NORSJÖ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43398-2023</t>
        </is>
      </c>
      <c r="B144" s="1" t="n">
        <v>45183</v>
      </c>
      <c r="C144" s="1" t="n">
        <v>45899</v>
      </c>
      <c r="D144" t="inlineStr">
        <is>
          <t>VÄSTERBOTTENS LÄN</t>
        </is>
      </c>
      <c r="E144" t="inlineStr">
        <is>
          <t>NORSJÖ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18974-2023</t>
        </is>
      </c>
      <c r="B145" s="1" t="n">
        <v>45044</v>
      </c>
      <c r="C145" s="1" t="n">
        <v>45899</v>
      </c>
      <c r="D145" t="inlineStr">
        <is>
          <t>VÄSTERBOTTENS LÄN</t>
        </is>
      </c>
      <c r="E145" t="inlineStr">
        <is>
          <t>NORSJÖ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26385-2024</t>
        </is>
      </c>
      <c r="B146" s="1" t="n">
        <v>45469.42753472222</v>
      </c>
      <c r="C146" s="1" t="n">
        <v>45899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53472-2024</t>
        </is>
      </c>
      <c r="B147" s="1" t="n">
        <v>45614.55703703704</v>
      </c>
      <c r="C147" s="1" t="n">
        <v>45899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50725-2024</t>
        </is>
      </c>
      <c r="B148" s="1" t="n">
        <v>45602.38738425926</v>
      </c>
      <c r="C148" s="1" t="n">
        <v>45899</v>
      </c>
      <c r="D148" t="inlineStr">
        <is>
          <t>VÄSTERBOTTENS LÄN</t>
        </is>
      </c>
      <c r="E148" t="inlineStr">
        <is>
          <t>NORSJÖ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6619-2023</t>
        </is>
      </c>
      <c r="B149" s="1" t="n">
        <v>44963</v>
      </c>
      <c r="C149" s="1" t="n">
        <v>45899</v>
      </c>
      <c r="D149" t="inlineStr">
        <is>
          <t>VÄSTERBOTTENS LÄN</t>
        </is>
      </c>
      <c r="E149" t="inlineStr">
        <is>
          <t>NORSJÖ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25352-2024</t>
        </is>
      </c>
      <c r="B150" s="1" t="n">
        <v>45462</v>
      </c>
      <c r="C150" s="1" t="n">
        <v>45899</v>
      </c>
      <c r="D150" t="inlineStr">
        <is>
          <t>VÄSTERBOTTENS LÄN</t>
        </is>
      </c>
      <c r="E150" t="inlineStr">
        <is>
          <t>NORSJÖ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63424-2023</t>
        </is>
      </c>
      <c r="B151" s="1" t="n">
        <v>45274</v>
      </c>
      <c r="C151" s="1" t="n">
        <v>45899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45990-2024</t>
        </is>
      </c>
      <c r="B152" s="1" t="n">
        <v>45580.62873842593</v>
      </c>
      <c r="C152" s="1" t="n">
        <v>45899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32230-2024</t>
        </is>
      </c>
      <c r="B153" s="1" t="n">
        <v>45511.92854166667</v>
      </c>
      <c r="C153" s="1" t="n">
        <v>45899</v>
      </c>
      <c r="D153" t="inlineStr">
        <is>
          <t>VÄSTERBOTTENS LÄN</t>
        </is>
      </c>
      <c r="E153" t="inlineStr">
        <is>
          <t>NORSJÖ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32236-2024</t>
        </is>
      </c>
      <c r="B154" s="1" t="n">
        <v>45511.92907407408</v>
      </c>
      <c r="C154" s="1" t="n">
        <v>45899</v>
      </c>
      <c r="D154" t="inlineStr">
        <is>
          <t>VÄSTERBOTTENS LÄN</t>
        </is>
      </c>
      <c r="E154" t="inlineStr">
        <is>
          <t>NORSJÖ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33623-2023</t>
        </is>
      </c>
      <c r="B155" s="1" t="n">
        <v>45132.38693287037</v>
      </c>
      <c r="C155" s="1" t="n">
        <v>45899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37496-2024</t>
        </is>
      </c>
      <c r="B156" s="1" t="n">
        <v>45541.36414351852</v>
      </c>
      <c r="C156" s="1" t="n">
        <v>45899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49481-2024</t>
        </is>
      </c>
      <c r="B157" s="1" t="n">
        <v>45596.3479050926</v>
      </c>
      <c r="C157" s="1" t="n">
        <v>45899</v>
      </c>
      <c r="D157" t="inlineStr">
        <is>
          <t>VÄSTERBOTTENS LÄN</t>
        </is>
      </c>
      <c r="E157" t="inlineStr">
        <is>
          <t>NORSJÖ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2749-2023</t>
        </is>
      </c>
      <c r="B158" s="1" t="n">
        <v>44943</v>
      </c>
      <c r="C158" s="1" t="n">
        <v>45899</v>
      </c>
      <c r="D158" t="inlineStr">
        <is>
          <t>VÄSTERBOTTENS LÄN</t>
        </is>
      </c>
      <c r="E158" t="inlineStr">
        <is>
          <t>NORSJÖ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25030-2023</t>
        </is>
      </c>
      <c r="B159" s="1" t="n">
        <v>45085.92760416667</v>
      </c>
      <c r="C159" s="1" t="n">
        <v>45899</v>
      </c>
      <c r="D159" t="inlineStr">
        <is>
          <t>VÄSTERBOTTENS LÄN</t>
        </is>
      </c>
      <c r="E159" t="inlineStr">
        <is>
          <t>NORSJÖ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34945-2024</t>
        </is>
      </c>
      <c r="B160" s="1" t="n">
        <v>45527.46944444445</v>
      </c>
      <c r="C160" s="1" t="n">
        <v>45899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12800-2024</t>
        </is>
      </c>
      <c r="B161" s="1" t="n">
        <v>45384</v>
      </c>
      <c r="C161" s="1" t="n">
        <v>45899</v>
      </c>
      <c r="D161" t="inlineStr">
        <is>
          <t>VÄSTERBOTTENS LÄN</t>
        </is>
      </c>
      <c r="E161" t="inlineStr">
        <is>
          <t>NORSJÖ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37057-2023</t>
        </is>
      </c>
      <c r="B162" s="1" t="n">
        <v>45155</v>
      </c>
      <c r="C162" s="1" t="n">
        <v>45899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23971-2025</t>
        </is>
      </c>
      <c r="B163" s="1" t="n">
        <v>45796.38513888889</v>
      </c>
      <c r="C163" s="1" t="n">
        <v>45899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41966-2024</t>
        </is>
      </c>
      <c r="B164" s="1" t="n">
        <v>45561.59516203704</v>
      </c>
      <c r="C164" s="1" t="n">
        <v>45899</v>
      </c>
      <c r="D164" t="inlineStr">
        <is>
          <t>VÄSTERBOTTENS LÄN</t>
        </is>
      </c>
      <c r="E164" t="inlineStr">
        <is>
          <t>NORSJÖ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46882-2024</t>
        </is>
      </c>
      <c r="B165" s="1" t="n">
        <v>45583</v>
      </c>
      <c r="C165" s="1" t="n">
        <v>45899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24171-2025</t>
        </is>
      </c>
      <c r="B166" s="1" t="n">
        <v>45796.68282407407</v>
      </c>
      <c r="C166" s="1" t="n">
        <v>45899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24676-2025</t>
        </is>
      </c>
      <c r="B167" s="1" t="n">
        <v>45798.65332175926</v>
      </c>
      <c r="C167" s="1" t="n">
        <v>45899</v>
      </c>
      <c r="D167" t="inlineStr">
        <is>
          <t>VÄSTERBOTTENS LÄN</t>
        </is>
      </c>
      <c r="E167" t="inlineStr">
        <is>
          <t>NORSJÖ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2119-2025</t>
        </is>
      </c>
      <c r="B168" s="1" t="n">
        <v>45672.64280092593</v>
      </c>
      <c r="C168" s="1" t="n">
        <v>45899</v>
      </c>
      <c r="D168" t="inlineStr">
        <is>
          <t>VÄSTERBOTTENS LÄN</t>
        </is>
      </c>
      <c r="E168" t="inlineStr">
        <is>
          <t>NORSJÖ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24650-2025</t>
        </is>
      </c>
      <c r="B169" s="1" t="n">
        <v>45798.63621527778</v>
      </c>
      <c r="C169" s="1" t="n">
        <v>45899</v>
      </c>
      <c r="D169" t="inlineStr">
        <is>
          <t>VÄSTERBOTTENS LÄN</t>
        </is>
      </c>
      <c r="E169" t="inlineStr">
        <is>
          <t>NORSJÖ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30019-2024</t>
        </is>
      </c>
      <c r="B170" s="1" t="n">
        <v>45485</v>
      </c>
      <c r="C170" s="1" t="n">
        <v>45899</v>
      </c>
      <c r="D170" t="inlineStr">
        <is>
          <t>VÄSTERBOTTENS LÄN</t>
        </is>
      </c>
      <c r="E170" t="inlineStr">
        <is>
          <t>NORSJÖ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24932-2025</t>
        </is>
      </c>
      <c r="B171" s="1" t="n">
        <v>45799.55607638889</v>
      </c>
      <c r="C171" s="1" t="n">
        <v>45899</v>
      </c>
      <c r="D171" t="inlineStr">
        <is>
          <t>VÄSTERBOTTENS LÄN</t>
        </is>
      </c>
      <c r="E171" t="inlineStr">
        <is>
          <t>NORSJÖ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20997-2024</t>
        </is>
      </c>
      <c r="B172" s="1" t="n">
        <v>45439.61412037037</v>
      </c>
      <c r="C172" s="1" t="n">
        <v>45899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21012-2024</t>
        </is>
      </c>
      <c r="B173" s="1" t="n">
        <v>45439</v>
      </c>
      <c r="C173" s="1" t="n">
        <v>45899</v>
      </c>
      <c r="D173" t="inlineStr">
        <is>
          <t>VÄSTERBOTTENS LÄN</t>
        </is>
      </c>
      <c r="E173" t="inlineStr">
        <is>
          <t>NORSJÖ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58592-2024</t>
        </is>
      </c>
      <c r="B174" s="1" t="n">
        <v>45635</v>
      </c>
      <c r="C174" s="1" t="n">
        <v>45899</v>
      </c>
      <c r="D174" t="inlineStr">
        <is>
          <t>VÄSTERBOTTENS LÄN</t>
        </is>
      </c>
      <c r="E174" t="inlineStr">
        <is>
          <t>NORSJÖ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55405-2024</t>
        </is>
      </c>
      <c r="B175" s="1" t="n">
        <v>45621</v>
      </c>
      <c r="C175" s="1" t="n">
        <v>45899</v>
      </c>
      <c r="D175" t="inlineStr">
        <is>
          <t>VÄSTERBOTTENS LÄN</t>
        </is>
      </c>
      <c r="E175" t="inlineStr">
        <is>
          <t>NORSJÖ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51352-2024</t>
        </is>
      </c>
      <c r="B176" s="1" t="n">
        <v>45604.36130787037</v>
      </c>
      <c r="C176" s="1" t="n">
        <v>45899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24930-2025</t>
        </is>
      </c>
      <c r="B177" s="1" t="n">
        <v>45799.55508101852</v>
      </c>
      <c r="C177" s="1" t="n">
        <v>45899</v>
      </c>
      <c r="D177" t="inlineStr">
        <is>
          <t>VÄSTERBOTTENS LÄN</t>
        </is>
      </c>
      <c r="E177" t="inlineStr">
        <is>
          <t>NORSJÖ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25027-2023</t>
        </is>
      </c>
      <c r="B178" s="1" t="n">
        <v>45085.92733796296</v>
      </c>
      <c r="C178" s="1" t="n">
        <v>45899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25028-2023</t>
        </is>
      </c>
      <c r="B179" s="1" t="n">
        <v>45085.92752314815</v>
      </c>
      <c r="C179" s="1" t="n">
        <v>45899</v>
      </c>
      <c r="D179" t="inlineStr">
        <is>
          <t>VÄSTERBOTTENS LÄN</t>
        </is>
      </c>
      <c r="E179" t="inlineStr">
        <is>
          <t>NORSJÖ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36245-2024</t>
        </is>
      </c>
      <c r="B180" s="1" t="n">
        <v>45534.52609953703</v>
      </c>
      <c r="C180" s="1" t="n">
        <v>45899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43651-2024</t>
        </is>
      </c>
      <c r="B181" s="1" t="n">
        <v>45569.53740740741</v>
      </c>
      <c r="C181" s="1" t="n">
        <v>45899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30967-2024</t>
        </is>
      </c>
      <c r="B182" s="1" t="n">
        <v>45499.45645833333</v>
      </c>
      <c r="C182" s="1" t="n">
        <v>45899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24935-2025</t>
        </is>
      </c>
      <c r="B183" s="1" t="n">
        <v>45799.55739583333</v>
      </c>
      <c r="C183" s="1" t="n">
        <v>45899</v>
      </c>
      <c r="D183" t="inlineStr">
        <is>
          <t>VÄSTERBOTTENS LÄN</t>
        </is>
      </c>
      <c r="E183" t="inlineStr">
        <is>
          <t>NORSJÖ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24891-2025</t>
        </is>
      </c>
      <c r="B184" s="1" t="n">
        <v>45799.51130787037</v>
      </c>
      <c r="C184" s="1" t="n">
        <v>45899</v>
      </c>
      <c r="D184" t="inlineStr">
        <is>
          <t>VÄSTERBOTTENS LÄN</t>
        </is>
      </c>
      <c r="E184" t="inlineStr">
        <is>
          <t>NORSJÖ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47308-2024</t>
        </is>
      </c>
      <c r="B185" s="1" t="n">
        <v>45587.36372685185</v>
      </c>
      <c r="C185" s="1" t="n">
        <v>45899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41559-2023</t>
        </is>
      </c>
      <c r="B186" s="1" t="n">
        <v>45173</v>
      </c>
      <c r="C186" s="1" t="n">
        <v>45899</v>
      </c>
      <c r="D186" t="inlineStr">
        <is>
          <t>VÄSTERBOTTENS LÄN</t>
        </is>
      </c>
      <c r="E186" t="inlineStr">
        <is>
          <t>NORSJÖ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25662-2025</t>
        </is>
      </c>
      <c r="B187" s="1" t="n">
        <v>45803.61563657408</v>
      </c>
      <c r="C187" s="1" t="n">
        <v>45899</v>
      </c>
      <c r="D187" t="inlineStr">
        <is>
          <t>VÄSTERBOTTENS LÄN</t>
        </is>
      </c>
      <c r="E187" t="inlineStr">
        <is>
          <t>NORSJÖ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41537-2023</t>
        </is>
      </c>
      <c r="B188" s="1" t="n">
        <v>45172</v>
      </c>
      <c r="C188" s="1" t="n">
        <v>45899</v>
      </c>
      <c r="D188" t="inlineStr">
        <is>
          <t>VÄSTERBOTTENS LÄN</t>
        </is>
      </c>
      <c r="E188" t="inlineStr">
        <is>
          <t>NORSJÖ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32226-2024</t>
        </is>
      </c>
      <c r="B189" s="1" t="n">
        <v>45511.92831018518</v>
      </c>
      <c r="C189" s="1" t="n">
        <v>45899</v>
      </c>
      <c r="D189" t="inlineStr">
        <is>
          <t>VÄSTERBOTTENS LÄN</t>
        </is>
      </c>
      <c r="E189" t="inlineStr">
        <is>
          <t>NORSJÖ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39288-2024</t>
        </is>
      </c>
      <c r="B190" s="1" t="n">
        <v>45551.36658564815</v>
      </c>
      <c r="C190" s="1" t="n">
        <v>45899</v>
      </c>
      <c r="D190" t="inlineStr">
        <is>
          <t>VÄSTERBOTTENS LÄN</t>
        </is>
      </c>
      <c r="E190" t="inlineStr">
        <is>
          <t>NORSJÖ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39335-2024</t>
        </is>
      </c>
      <c r="B191" s="1" t="n">
        <v>45551.43978009259</v>
      </c>
      <c r="C191" s="1" t="n">
        <v>45899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39343-2024</t>
        </is>
      </c>
      <c r="B192" s="1" t="n">
        <v>45551.44489583333</v>
      </c>
      <c r="C192" s="1" t="n">
        <v>45899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39353-2024</t>
        </is>
      </c>
      <c r="B193" s="1" t="n">
        <v>45551.45835648148</v>
      </c>
      <c r="C193" s="1" t="n">
        <v>45899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44622-2023</t>
        </is>
      </c>
      <c r="B194" s="1" t="n">
        <v>45184</v>
      </c>
      <c r="C194" s="1" t="n">
        <v>45899</v>
      </c>
      <c r="D194" t="inlineStr">
        <is>
          <t>VÄSTERBOTTENS LÄN</t>
        </is>
      </c>
      <c r="E194" t="inlineStr">
        <is>
          <t>NORSJÖ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52045-2024</t>
        </is>
      </c>
      <c r="B195" s="1" t="n">
        <v>45604</v>
      </c>
      <c r="C195" s="1" t="n">
        <v>45899</v>
      </c>
      <c r="D195" t="inlineStr">
        <is>
          <t>VÄSTERBOTTENS LÄN</t>
        </is>
      </c>
      <c r="E195" t="inlineStr">
        <is>
          <t>NORSJÖ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21996-2023</t>
        </is>
      </c>
      <c r="B196" s="1" t="n">
        <v>45068.92681712963</v>
      </c>
      <c r="C196" s="1" t="n">
        <v>45899</v>
      </c>
      <c r="D196" t="inlineStr">
        <is>
          <t>VÄSTERBOTTENS LÄN</t>
        </is>
      </c>
      <c r="E196" t="inlineStr">
        <is>
          <t>NORSJÖ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25657-2025</t>
        </is>
      </c>
      <c r="B197" s="1" t="n">
        <v>45803.61543981481</v>
      </c>
      <c r="C197" s="1" t="n">
        <v>45899</v>
      </c>
      <c r="D197" t="inlineStr">
        <is>
          <t>VÄSTERBOTTENS LÄN</t>
        </is>
      </c>
      <c r="E197" t="inlineStr">
        <is>
          <t>NORSJÖ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44367-2024</t>
        </is>
      </c>
      <c r="B198" s="1" t="n">
        <v>45573.65248842593</v>
      </c>
      <c r="C198" s="1" t="n">
        <v>45899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Kommuner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57195-2021</t>
        </is>
      </c>
      <c r="B199" s="1" t="n">
        <v>44482.9227662037</v>
      </c>
      <c r="C199" s="1" t="n">
        <v>45899</v>
      </c>
      <c r="D199" t="inlineStr">
        <is>
          <t>VÄSTERBOTTENS LÄN</t>
        </is>
      </c>
      <c r="E199" t="inlineStr">
        <is>
          <t>NORSJÖ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52998-2024</t>
        </is>
      </c>
      <c r="B200" s="1" t="n">
        <v>45611.38663194444</v>
      </c>
      <c r="C200" s="1" t="n">
        <v>45899</v>
      </c>
      <c r="D200" t="inlineStr">
        <is>
          <t>VÄSTERBOTTENS LÄN</t>
        </is>
      </c>
      <c r="E200" t="inlineStr">
        <is>
          <t>NORSJÖ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25734-2023</t>
        </is>
      </c>
      <c r="B201" s="1" t="n">
        <v>45090.41349537037</v>
      </c>
      <c r="C201" s="1" t="n">
        <v>45899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33460-2024</t>
        </is>
      </c>
      <c r="B202" s="1" t="n">
        <v>45519.58368055556</v>
      </c>
      <c r="C202" s="1" t="n">
        <v>45899</v>
      </c>
      <c r="D202" t="inlineStr">
        <is>
          <t>VÄSTERBOTTENS LÄN</t>
        </is>
      </c>
      <c r="E202" t="inlineStr">
        <is>
          <t>NORSJÖ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40103-2024</t>
        </is>
      </c>
      <c r="B203" s="1" t="n">
        <v>45554.42751157407</v>
      </c>
      <c r="C203" s="1" t="n">
        <v>45899</v>
      </c>
      <c r="D203" t="inlineStr">
        <is>
          <t>VÄSTERBOTTENS LÄN</t>
        </is>
      </c>
      <c r="E203" t="inlineStr">
        <is>
          <t>NORSJÖ</t>
        </is>
      </c>
      <c r="G203" t="n">
        <v>15.5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7178-2024</t>
        </is>
      </c>
      <c r="B204" s="1" t="n">
        <v>45344</v>
      </c>
      <c r="C204" s="1" t="n">
        <v>45899</v>
      </c>
      <c r="D204" t="inlineStr">
        <is>
          <t>VÄSTERBOTTENS LÄN</t>
        </is>
      </c>
      <c r="E204" t="inlineStr">
        <is>
          <t>NORSJÖ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50368-2023</t>
        </is>
      </c>
      <c r="B205" s="1" t="n">
        <v>45209</v>
      </c>
      <c r="C205" s="1" t="n">
        <v>45899</v>
      </c>
      <c r="D205" t="inlineStr">
        <is>
          <t>VÄSTERBOTTENS LÄN</t>
        </is>
      </c>
      <c r="E205" t="inlineStr">
        <is>
          <t>NORSJÖ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2642-2023</t>
        </is>
      </c>
      <c r="B206" s="1" t="n">
        <v>44944.41868055556</v>
      </c>
      <c r="C206" s="1" t="n">
        <v>45899</v>
      </c>
      <c r="D206" t="inlineStr">
        <is>
          <t>VÄSTERBOTTENS LÄN</t>
        </is>
      </c>
      <c r="E206" t="inlineStr">
        <is>
          <t>NORSJÖ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16407-2024</t>
        </is>
      </c>
      <c r="B207" s="1" t="n">
        <v>45407.63806712963</v>
      </c>
      <c r="C207" s="1" t="n">
        <v>45899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36585-2024</t>
        </is>
      </c>
      <c r="B208" s="1" t="n">
        <v>45537.52844907407</v>
      </c>
      <c r="C208" s="1" t="n">
        <v>45899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48954-2024</t>
        </is>
      </c>
      <c r="B209" s="1" t="n">
        <v>45594.43673611111</v>
      </c>
      <c r="C209" s="1" t="n">
        <v>45899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56498-2024</t>
        </is>
      </c>
      <c r="B210" s="1" t="n">
        <v>45625.49637731481</v>
      </c>
      <c r="C210" s="1" t="n">
        <v>45899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32234-2024</t>
        </is>
      </c>
      <c r="B211" s="1" t="n">
        <v>45511.92890046296</v>
      </c>
      <c r="C211" s="1" t="n">
        <v>45899</v>
      </c>
      <c r="D211" t="inlineStr">
        <is>
          <t>VÄSTERBOTTENS LÄN</t>
        </is>
      </c>
      <c r="E211" t="inlineStr">
        <is>
          <t>NORSJÖ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32241-2024</t>
        </is>
      </c>
      <c r="B212" s="1" t="n">
        <v>45511.92940972222</v>
      </c>
      <c r="C212" s="1" t="n">
        <v>45899</v>
      </c>
      <c r="D212" t="inlineStr">
        <is>
          <t>VÄSTERBOTTENS LÄN</t>
        </is>
      </c>
      <c r="E212" t="inlineStr">
        <is>
          <t>NORSJÖ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27214-2025</t>
        </is>
      </c>
      <c r="B213" s="1" t="n">
        <v>45812.41510416667</v>
      </c>
      <c r="C213" s="1" t="n">
        <v>45899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54044-2024</t>
        </is>
      </c>
      <c r="B214" s="1" t="n">
        <v>45616.4488425926</v>
      </c>
      <c r="C214" s="1" t="n">
        <v>45899</v>
      </c>
      <c r="D214" t="inlineStr">
        <is>
          <t>VÄSTERBOTTENS LÄN</t>
        </is>
      </c>
      <c r="E214" t="inlineStr">
        <is>
          <t>NORSJÖ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42181-2023</t>
        </is>
      </c>
      <c r="B215" s="1" t="n">
        <v>45178.92329861111</v>
      </c>
      <c r="C215" s="1" t="n">
        <v>45899</v>
      </c>
      <c r="D215" t="inlineStr">
        <is>
          <t>VÄSTERBOTTENS LÄN</t>
        </is>
      </c>
      <c r="E215" t="inlineStr">
        <is>
          <t>NORSJÖ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39289-2024</t>
        </is>
      </c>
      <c r="B216" s="1" t="n">
        <v>45551</v>
      </c>
      <c r="C216" s="1" t="n">
        <v>45899</v>
      </c>
      <c r="D216" t="inlineStr">
        <is>
          <t>VÄSTERBOTTENS LÄN</t>
        </is>
      </c>
      <c r="E216" t="inlineStr">
        <is>
          <t>NORSJÖ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14226-2023</t>
        </is>
      </c>
      <c r="B217" s="1" t="n">
        <v>45009</v>
      </c>
      <c r="C217" s="1" t="n">
        <v>45899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25161-2024</t>
        </is>
      </c>
      <c r="B218" s="1" t="n">
        <v>45462.53011574074</v>
      </c>
      <c r="C218" s="1" t="n">
        <v>45899</v>
      </c>
      <c r="D218" t="inlineStr">
        <is>
          <t>VÄSTERBOTTENS LÄN</t>
        </is>
      </c>
      <c r="E218" t="inlineStr">
        <is>
          <t>NORSJÖ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55039-2024</t>
        </is>
      </c>
      <c r="B219" s="1" t="n">
        <v>45621.38637731481</v>
      </c>
      <c r="C219" s="1" t="n">
        <v>45899</v>
      </c>
      <c r="D219" t="inlineStr">
        <is>
          <t>VÄSTERBOTTENS LÄN</t>
        </is>
      </c>
      <c r="E219" t="inlineStr">
        <is>
          <t>NORSJÖ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21600-2024</t>
        </is>
      </c>
      <c r="B220" s="1" t="n">
        <v>45441</v>
      </c>
      <c r="C220" s="1" t="n">
        <v>45899</v>
      </c>
      <c r="D220" t="inlineStr">
        <is>
          <t>VÄSTERBOTTENS LÄN</t>
        </is>
      </c>
      <c r="E220" t="inlineStr">
        <is>
          <t>NORSJÖ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44114-2024</t>
        </is>
      </c>
      <c r="B221" s="1" t="n">
        <v>45572.63658564815</v>
      </c>
      <c r="C221" s="1" t="n">
        <v>45899</v>
      </c>
      <c r="D221" t="inlineStr">
        <is>
          <t>VÄSTERBOTTENS LÄN</t>
        </is>
      </c>
      <c r="E221" t="inlineStr">
        <is>
          <t>NORSJÖ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33995-2024</t>
        </is>
      </c>
      <c r="B222" s="1" t="n">
        <v>45523</v>
      </c>
      <c r="C222" s="1" t="n">
        <v>45899</v>
      </c>
      <c r="D222" t="inlineStr">
        <is>
          <t>VÄSTERBOTTENS LÄN</t>
        </is>
      </c>
      <c r="E222" t="inlineStr">
        <is>
          <t>NORSJÖ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5371-2022</t>
        </is>
      </c>
      <c r="B223" s="1" t="n">
        <v>44594</v>
      </c>
      <c r="C223" s="1" t="n">
        <v>45899</v>
      </c>
      <c r="D223" t="inlineStr">
        <is>
          <t>VÄSTERBOTTENS LÄN</t>
        </is>
      </c>
      <c r="E223" t="inlineStr">
        <is>
          <t>NORSJÖ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18850-2024</t>
        </is>
      </c>
      <c r="B224" s="1" t="n">
        <v>45426</v>
      </c>
      <c r="C224" s="1" t="n">
        <v>45899</v>
      </c>
      <c r="D224" t="inlineStr">
        <is>
          <t>VÄSTERBOTTENS LÄN</t>
        </is>
      </c>
      <c r="E224" t="inlineStr">
        <is>
          <t>NORSJÖ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28942-2023</t>
        </is>
      </c>
      <c r="B225" s="1" t="n">
        <v>45104</v>
      </c>
      <c r="C225" s="1" t="n">
        <v>45899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38832-2024</t>
        </is>
      </c>
      <c r="B226" s="1" t="n">
        <v>45547</v>
      </c>
      <c r="C226" s="1" t="n">
        <v>45899</v>
      </c>
      <c r="D226" t="inlineStr">
        <is>
          <t>VÄSTERBOTTENS LÄN</t>
        </is>
      </c>
      <c r="E226" t="inlineStr">
        <is>
          <t>NORSJÖ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43396-2023</t>
        </is>
      </c>
      <c r="B227" s="1" t="n">
        <v>45183.92153935185</v>
      </c>
      <c r="C227" s="1" t="n">
        <v>45899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5772-2025</t>
        </is>
      </c>
      <c r="B228" s="1" t="n">
        <v>45694.59717592593</v>
      </c>
      <c r="C228" s="1" t="n">
        <v>45899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19731-2024</t>
        </is>
      </c>
      <c r="B229" s="1" t="n">
        <v>45432.60155092592</v>
      </c>
      <c r="C229" s="1" t="n">
        <v>45899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19744-2024</t>
        </is>
      </c>
      <c r="B230" s="1" t="n">
        <v>45432.65126157407</v>
      </c>
      <c r="C230" s="1" t="n">
        <v>45899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38318-2024</t>
        </is>
      </c>
      <c r="B231" s="1" t="n">
        <v>45545.66155092593</v>
      </c>
      <c r="C231" s="1" t="n">
        <v>45899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891-2025</t>
        </is>
      </c>
      <c r="B232" s="1" t="n">
        <v>45665.65660879629</v>
      </c>
      <c r="C232" s="1" t="n">
        <v>45899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35729-2025</t>
        </is>
      </c>
      <c r="B233" s="1" t="n">
        <v>45860.46461805556</v>
      </c>
      <c r="C233" s="1" t="n">
        <v>45899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8159-2025</t>
        </is>
      </c>
      <c r="B234" s="1" t="n">
        <v>45708.34431712963</v>
      </c>
      <c r="C234" s="1" t="n">
        <v>45899</v>
      </c>
      <c r="D234" t="inlineStr">
        <is>
          <t>VÄSTERBOTTENS LÄN</t>
        </is>
      </c>
      <c r="E234" t="inlineStr">
        <is>
          <t>NORSJÖ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17700-2023</t>
        </is>
      </c>
      <c r="B235" s="1" t="n">
        <v>45037.35241898148</v>
      </c>
      <c r="C235" s="1" t="n">
        <v>45899</v>
      </c>
      <c r="D235" t="inlineStr">
        <is>
          <t>VÄSTERBOTTENS LÄN</t>
        </is>
      </c>
      <c r="E235" t="inlineStr">
        <is>
          <t>NORSJÖ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28808-2025</t>
        </is>
      </c>
      <c r="B236" s="1" t="n">
        <v>45820.51743055556</v>
      </c>
      <c r="C236" s="1" t="n">
        <v>45899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40846-2024</t>
        </is>
      </c>
      <c r="B237" s="1" t="n">
        <v>45558.57508101852</v>
      </c>
      <c r="C237" s="1" t="n">
        <v>45899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49.4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41510-2024</t>
        </is>
      </c>
      <c r="B238" s="1" t="n">
        <v>45560.47396990741</v>
      </c>
      <c r="C238" s="1" t="n">
        <v>45899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28822-2025</t>
        </is>
      </c>
      <c r="B239" s="1" t="n">
        <v>45820</v>
      </c>
      <c r="C239" s="1" t="n">
        <v>45899</v>
      </c>
      <c r="D239" t="inlineStr">
        <is>
          <t>VÄSTERBOTTENS LÄN</t>
        </is>
      </c>
      <c r="E239" t="inlineStr">
        <is>
          <t>NORSJÖ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28908-2025</t>
        </is>
      </c>
      <c r="B240" s="1" t="n">
        <v>45820.65319444444</v>
      </c>
      <c r="C240" s="1" t="n">
        <v>45899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16659-2025</t>
        </is>
      </c>
      <c r="B241" s="1" t="n">
        <v>45754.41245370371</v>
      </c>
      <c r="C241" s="1" t="n">
        <v>45899</v>
      </c>
      <c r="D241" t="inlineStr">
        <is>
          <t>VÄSTERBOTTENS LÄN</t>
        </is>
      </c>
      <c r="E241" t="inlineStr">
        <is>
          <t>NORSJÖ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28823-2025</t>
        </is>
      </c>
      <c r="B242" s="1" t="n">
        <v>45820</v>
      </c>
      <c r="C242" s="1" t="n">
        <v>45899</v>
      </c>
      <c r="D242" t="inlineStr">
        <is>
          <t>VÄSTERBOTTENS LÄN</t>
        </is>
      </c>
      <c r="E242" t="inlineStr">
        <is>
          <t>NORSJÖ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28999-2025</t>
        </is>
      </c>
      <c r="B243" s="1" t="n">
        <v>45821.38677083333</v>
      </c>
      <c r="C243" s="1" t="n">
        <v>45899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29379-2025</t>
        </is>
      </c>
      <c r="B244" s="1" t="n">
        <v>45824.58925925926</v>
      </c>
      <c r="C244" s="1" t="n">
        <v>45899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6667-2024</t>
        </is>
      </c>
      <c r="B245" s="1" t="n">
        <v>45341</v>
      </c>
      <c r="C245" s="1" t="n">
        <v>45899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29395-2025</t>
        </is>
      </c>
      <c r="B246" s="1" t="n">
        <v>45824.60665509259</v>
      </c>
      <c r="C246" s="1" t="n">
        <v>45899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29347-2025</t>
        </is>
      </c>
      <c r="B247" s="1" t="n">
        <v>45824.51351851852</v>
      </c>
      <c r="C247" s="1" t="n">
        <v>45899</v>
      </c>
      <c r="D247" t="inlineStr">
        <is>
          <t>VÄSTERBOTTENS LÄN</t>
        </is>
      </c>
      <c r="E247" t="inlineStr">
        <is>
          <t>NORSJÖ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37569-2024</t>
        </is>
      </c>
      <c r="B248" s="1" t="n">
        <v>45541.45086805556</v>
      </c>
      <c r="C248" s="1" t="n">
        <v>45899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29475-2025</t>
        </is>
      </c>
      <c r="B249" s="1" t="n">
        <v>45824.7070949074</v>
      </c>
      <c r="C249" s="1" t="n">
        <v>45899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47413-2024</t>
        </is>
      </c>
      <c r="B250" s="1" t="n">
        <v>45587.48387731481</v>
      </c>
      <c r="C250" s="1" t="n">
        <v>45899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51401-2024</t>
        </is>
      </c>
      <c r="B251" s="1" t="n">
        <v>45604.42592592593</v>
      </c>
      <c r="C251" s="1" t="n">
        <v>45899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55821-2024</t>
        </is>
      </c>
      <c r="B252" s="1" t="n">
        <v>45623.47690972222</v>
      </c>
      <c r="C252" s="1" t="n">
        <v>45899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45693-2024</t>
        </is>
      </c>
      <c r="B253" s="1" t="n">
        <v>45579.555625</v>
      </c>
      <c r="C253" s="1" t="n">
        <v>45899</v>
      </c>
      <c r="D253" t="inlineStr">
        <is>
          <t>VÄSTERBOTTENS LÄN</t>
        </is>
      </c>
      <c r="E253" t="inlineStr">
        <is>
          <t>NORSJÖ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29682-2025</t>
        </is>
      </c>
      <c r="B254" s="1" t="n">
        <v>45825.51212962963</v>
      </c>
      <c r="C254" s="1" t="n">
        <v>45899</v>
      </c>
      <c r="D254" t="inlineStr">
        <is>
          <t>VÄSTERBOTTENS LÄN</t>
        </is>
      </c>
      <c r="E254" t="inlineStr">
        <is>
          <t>NORSJÖ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57476-2024</t>
        </is>
      </c>
      <c r="B255" s="1" t="n">
        <v>45630.34612268519</v>
      </c>
      <c r="C255" s="1" t="n">
        <v>45899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29524-2025</t>
        </is>
      </c>
      <c r="B256" s="1" t="n">
        <v>45825.33515046296</v>
      </c>
      <c r="C256" s="1" t="n">
        <v>45899</v>
      </c>
      <c r="D256" t="inlineStr">
        <is>
          <t>VÄSTERBOTTENS LÄN</t>
        </is>
      </c>
      <c r="E256" t="inlineStr">
        <is>
          <t>NORSJÖ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41386-2023</t>
        </is>
      </c>
      <c r="B257" s="1" t="n">
        <v>45174.92231481482</v>
      </c>
      <c r="C257" s="1" t="n">
        <v>45899</v>
      </c>
      <c r="D257" t="inlineStr">
        <is>
          <t>VÄSTERBOTTENS LÄN</t>
        </is>
      </c>
      <c r="E257" t="inlineStr">
        <is>
          <t>NORSJÖ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41833-2024</t>
        </is>
      </c>
      <c r="B258" s="1" t="n">
        <v>45561.40744212963</v>
      </c>
      <c r="C258" s="1" t="n">
        <v>45899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44771-2024</t>
        </is>
      </c>
      <c r="B259" s="1" t="n">
        <v>45574</v>
      </c>
      <c r="C259" s="1" t="n">
        <v>45899</v>
      </c>
      <c r="D259" t="inlineStr">
        <is>
          <t>VÄSTERBOTTENS LÄN</t>
        </is>
      </c>
      <c r="E259" t="inlineStr">
        <is>
          <t>NORSJÖ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36550-2025</t>
        </is>
      </c>
      <c r="B260" s="1" t="n">
        <v>45870.32920138889</v>
      </c>
      <c r="C260" s="1" t="n">
        <v>45899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36613-2025</t>
        </is>
      </c>
      <c r="B261" s="1" t="n">
        <v>45870.60596064815</v>
      </c>
      <c r="C261" s="1" t="n">
        <v>45899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38012-2024</t>
        </is>
      </c>
      <c r="B262" s="1" t="n">
        <v>45544.62537037037</v>
      </c>
      <c r="C262" s="1" t="n">
        <v>45899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Naturvårdsverket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16294-2022</t>
        </is>
      </c>
      <c r="B263" s="1" t="n">
        <v>44670.54792824074</v>
      </c>
      <c r="C263" s="1" t="n">
        <v>45899</v>
      </c>
      <c r="D263" t="inlineStr">
        <is>
          <t>VÄSTERBOTTENS LÄN</t>
        </is>
      </c>
      <c r="E263" t="inlineStr">
        <is>
          <t>NORSJÖ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30575-2025</t>
        </is>
      </c>
      <c r="B264" s="1" t="n">
        <v>45831.41347222222</v>
      </c>
      <c r="C264" s="1" t="n">
        <v>45899</v>
      </c>
      <c r="D264" t="inlineStr">
        <is>
          <t>VÄSTERBOTTENS LÄN</t>
        </is>
      </c>
      <c r="E264" t="inlineStr">
        <is>
          <t>NORSJÖ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30894-2025</t>
        </is>
      </c>
      <c r="B265" s="1" t="n">
        <v>45832.3468287037</v>
      </c>
      <c r="C265" s="1" t="n">
        <v>45899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30588-2025</t>
        </is>
      </c>
      <c r="B266" s="1" t="n">
        <v>45831.42825231481</v>
      </c>
      <c r="C266" s="1" t="n">
        <v>45899</v>
      </c>
      <c r="D266" t="inlineStr">
        <is>
          <t>VÄSTERBOTTENS LÄN</t>
        </is>
      </c>
      <c r="E266" t="inlineStr">
        <is>
          <t>NORSJÖ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41552-2023</t>
        </is>
      </c>
      <c r="B267" s="1" t="n">
        <v>45173</v>
      </c>
      <c r="C267" s="1" t="n">
        <v>45899</v>
      </c>
      <c r="D267" t="inlineStr">
        <is>
          <t>VÄSTERBOTTENS LÄN</t>
        </is>
      </c>
      <c r="E267" t="inlineStr">
        <is>
          <t>NORSJÖ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18666-2025</t>
        </is>
      </c>
      <c r="B268" s="1" t="n">
        <v>45763.59434027778</v>
      </c>
      <c r="C268" s="1" t="n">
        <v>45899</v>
      </c>
      <c r="D268" t="inlineStr">
        <is>
          <t>VÄSTERBOTTENS LÄN</t>
        </is>
      </c>
      <c r="E268" t="inlineStr">
        <is>
          <t>NORSJÖ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18667-2025</t>
        </is>
      </c>
      <c r="B269" s="1" t="n">
        <v>45763.59436342592</v>
      </c>
      <c r="C269" s="1" t="n">
        <v>45899</v>
      </c>
      <c r="D269" t="inlineStr">
        <is>
          <t>VÄSTERBOTTENS LÄN</t>
        </is>
      </c>
      <c r="E269" t="inlineStr">
        <is>
          <t>NORSJÖ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18668-2025</t>
        </is>
      </c>
      <c r="B270" s="1" t="n">
        <v>45763.59438657408</v>
      </c>
      <c r="C270" s="1" t="n">
        <v>45899</v>
      </c>
      <c r="D270" t="inlineStr">
        <is>
          <t>VÄSTERBOTTENS LÄN</t>
        </is>
      </c>
      <c r="E270" t="inlineStr">
        <is>
          <t>NORSJÖ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46803-2023</t>
        </is>
      </c>
      <c r="B271" s="1" t="n">
        <v>45198</v>
      </c>
      <c r="C271" s="1" t="n">
        <v>45899</v>
      </c>
      <c r="D271" t="inlineStr">
        <is>
          <t>VÄSTERBOTTENS LÄN</t>
        </is>
      </c>
      <c r="E271" t="inlineStr">
        <is>
          <t>NORSJÖ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42034-2023</t>
        </is>
      </c>
      <c r="B272" s="1" t="n">
        <v>45177.50577546296</v>
      </c>
      <c r="C272" s="1" t="n">
        <v>45899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45618-2021</t>
        </is>
      </c>
      <c r="B273" s="1" t="n">
        <v>44440.9255324074</v>
      </c>
      <c r="C273" s="1" t="n">
        <v>45899</v>
      </c>
      <c r="D273" t="inlineStr">
        <is>
          <t>VÄSTERBOTTENS LÄN</t>
        </is>
      </c>
      <c r="E273" t="inlineStr">
        <is>
          <t>NORSJÖ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48549-2023</t>
        </is>
      </c>
      <c r="B274" s="1" t="n">
        <v>45208</v>
      </c>
      <c r="C274" s="1" t="n">
        <v>45899</v>
      </c>
      <c r="D274" t="inlineStr">
        <is>
          <t>VÄSTERBOTTENS LÄN</t>
        </is>
      </c>
      <c r="E274" t="inlineStr">
        <is>
          <t>NORSJÖ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31583-2025</t>
        </is>
      </c>
      <c r="B275" s="1" t="n">
        <v>45833.68674768518</v>
      </c>
      <c r="C275" s="1" t="n">
        <v>45899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9987-2021</t>
        </is>
      </c>
      <c r="B276" s="1" t="n">
        <v>44254</v>
      </c>
      <c r="C276" s="1" t="n">
        <v>45899</v>
      </c>
      <c r="D276" t="inlineStr">
        <is>
          <t>VÄSTERBOTTENS LÄN</t>
        </is>
      </c>
      <c r="E276" t="inlineStr">
        <is>
          <t>NORSJÖ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55931-2024</t>
        </is>
      </c>
      <c r="B277" s="1" t="n">
        <v>45623.60524305556</v>
      </c>
      <c r="C277" s="1" t="n">
        <v>45899</v>
      </c>
      <c r="D277" t="inlineStr">
        <is>
          <t>VÄSTERBOTTENS LÄN</t>
        </is>
      </c>
      <c r="E277" t="inlineStr">
        <is>
          <t>NORSJÖ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55951-2024</t>
        </is>
      </c>
      <c r="B278" s="1" t="n">
        <v>45623.6249537037</v>
      </c>
      <c r="C278" s="1" t="n">
        <v>45899</v>
      </c>
      <c r="D278" t="inlineStr">
        <is>
          <t>VÄSTERBOTTENS LÄN</t>
        </is>
      </c>
      <c r="E278" t="inlineStr">
        <is>
          <t>NORSJÖ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31501-2025</t>
        </is>
      </c>
      <c r="B279" s="1" t="n">
        <v>45833.59173611111</v>
      </c>
      <c r="C279" s="1" t="n">
        <v>45899</v>
      </c>
      <c r="D279" t="inlineStr">
        <is>
          <t>VÄSTERBOTTENS LÄN</t>
        </is>
      </c>
      <c r="E279" t="inlineStr">
        <is>
          <t>NORSJÖ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18853-2024</t>
        </is>
      </c>
      <c r="B280" s="1" t="n">
        <v>45426</v>
      </c>
      <c r="C280" s="1" t="n">
        <v>45899</v>
      </c>
      <c r="D280" t="inlineStr">
        <is>
          <t>VÄSTERBOTTENS LÄN</t>
        </is>
      </c>
      <c r="E280" t="inlineStr">
        <is>
          <t>NORSJÖ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44310-2023</t>
        </is>
      </c>
      <c r="B281" s="1" t="n">
        <v>45187</v>
      </c>
      <c r="C281" s="1" t="n">
        <v>45899</v>
      </c>
      <c r="D281" t="inlineStr">
        <is>
          <t>VÄSTERBOTTENS LÄN</t>
        </is>
      </c>
      <c r="E281" t="inlineStr">
        <is>
          <t>NORSJÖ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55586-2024</t>
        </is>
      </c>
      <c r="B282" s="1" t="n">
        <v>45622.56356481482</v>
      </c>
      <c r="C282" s="1" t="n">
        <v>45899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40756-2023</t>
        </is>
      </c>
      <c r="B283" s="1" t="n">
        <v>45170</v>
      </c>
      <c r="C283" s="1" t="n">
        <v>45899</v>
      </c>
      <c r="D283" t="inlineStr">
        <is>
          <t>VÄSTERBOTTENS LÄN</t>
        </is>
      </c>
      <c r="E283" t="inlineStr">
        <is>
          <t>NORSJÖ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43832-2023</t>
        </is>
      </c>
      <c r="B284" s="1" t="n">
        <v>45182</v>
      </c>
      <c r="C284" s="1" t="n">
        <v>45899</v>
      </c>
      <c r="D284" t="inlineStr">
        <is>
          <t>VÄSTERBOTTENS LÄN</t>
        </is>
      </c>
      <c r="E284" t="inlineStr">
        <is>
          <t>NORSJÖ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55919-2024</t>
        </is>
      </c>
      <c r="B285" s="1" t="n">
        <v>45623.59846064815</v>
      </c>
      <c r="C285" s="1" t="n">
        <v>45899</v>
      </c>
      <c r="D285" t="inlineStr">
        <is>
          <t>VÄSTERBOTTENS LÄN</t>
        </is>
      </c>
      <c r="E285" t="inlineStr">
        <is>
          <t>NORSJÖ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31512-2025</t>
        </is>
      </c>
      <c r="B286" s="1" t="n">
        <v>45833.5987962963</v>
      </c>
      <c r="C286" s="1" t="n">
        <v>45899</v>
      </c>
      <c r="D286" t="inlineStr">
        <is>
          <t>VÄSTERBOTTENS LÄN</t>
        </is>
      </c>
      <c r="E286" t="inlineStr">
        <is>
          <t>NORSJÖ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41548-2023</t>
        </is>
      </c>
      <c r="B287" s="1" t="n">
        <v>45172</v>
      </c>
      <c r="C287" s="1" t="n">
        <v>45899</v>
      </c>
      <c r="D287" t="inlineStr">
        <is>
          <t>VÄSTERBOTTENS LÄN</t>
        </is>
      </c>
      <c r="E287" t="inlineStr">
        <is>
          <t>NORSJÖ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15085-2022</t>
        </is>
      </c>
      <c r="B288" s="1" t="n">
        <v>44657.93243055556</v>
      </c>
      <c r="C288" s="1" t="n">
        <v>45899</v>
      </c>
      <c r="D288" t="inlineStr">
        <is>
          <t>VÄSTERBOTTENS LÄN</t>
        </is>
      </c>
      <c r="E288" t="inlineStr">
        <is>
          <t>NORSJÖ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31725-2025</t>
        </is>
      </c>
      <c r="B289" s="1" t="n">
        <v>45834</v>
      </c>
      <c r="C289" s="1" t="n">
        <v>45899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32455-2025</t>
        </is>
      </c>
      <c r="B290" s="1" t="n">
        <v>45838.40053240741</v>
      </c>
      <c r="C290" s="1" t="n">
        <v>45899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18165-2024</t>
        </is>
      </c>
      <c r="B291" s="1" t="n">
        <v>45420.62534722222</v>
      </c>
      <c r="C291" s="1" t="n">
        <v>45899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56888-2024</t>
        </is>
      </c>
      <c r="B292" s="1" t="n">
        <v>45628.57732638889</v>
      </c>
      <c r="C292" s="1" t="n">
        <v>45899</v>
      </c>
      <c r="D292" t="inlineStr">
        <is>
          <t>VÄSTERBOTTENS LÄN</t>
        </is>
      </c>
      <c r="E292" t="inlineStr">
        <is>
          <t>NORSJÖ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37421-2025</t>
        </is>
      </c>
      <c r="B293" s="1" t="n">
        <v>45877.48462962963</v>
      </c>
      <c r="C293" s="1" t="n">
        <v>45899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37469-2025</t>
        </is>
      </c>
      <c r="B294" s="1" t="n">
        <v>45877.57869212963</v>
      </c>
      <c r="C294" s="1" t="n">
        <v>45899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51075-2024</t>
        </is>
      </c>
      <c r="B295" s="1" t="n">
        <v>45603</v>
      </c>
      <c r="C295" s="1" t="n">
        <v>45899</v>
      </c>
      <c r="D295" t="inlineStr">
        <is>
          <t>VÄSTERBOTTENS LÄN</t>
        </is>
      </c>
      <c r="E295" t="inlineStr">
        <is>
          <t>NORSJÖ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33020-2025</t>
        </is>
      </c>
      <c r="B296" s="1" t="n">
        <v>45840.37125</v>
      </c>
      <c r="C296" s="1" t="n">
        <v>45899</v>
      </c>
      <c r="D296" t="inlineStr">
        <is>
          <t>VÄSTERBOTTENS LÄN</t>
        </is>
      </c>
      <c r="E296" t="inlineStr">
        <is>
          <t>NORSJÖ</t>
        </is>
      </c>
      <c r="G296" t="n">
        <v>19.1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41591-2023</t>
        </is>
      </c>
      <c r="B297" s="1" t="n">
        <v>45173</v>
      </c>
      <c r="C297" s="1" t="n">
        <v>45899</v>
      </c>
      <c r="D297" t="inlineStr">
        <is>
          <t>VÄSTERBOTTENS LÄN</t>
        </is>
      </c>
      <c r="E297" t="inlineStr">
        <is>
          <t>NORSJÖ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35628-2025</t>
        </is>
      </c>
      <c r="B298" s="1" t="n">
        <v>45859.44616898148</v>
      </c>
      <c r="C298" s="1" t="n">
        <v>45899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33167-2025</t>
        </is>
      </c>
      <c r="B299" s="1" t="n">
        <v>45840.57563657407</v>
      </c>
      <c r="C299" s="1" t="n">
        <v>45899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38200-2025</t>
        </is>
      </c>
      <c r="B300" s="1" t="n">
        <v>45882.67741898148</v>
      </c>
      <c r="C300" s="1" t="n">
        <v>45899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33242-2025</t>
        </is>
      </c>
      <c r="B301" s="1" t="n">
        <v>45840.65033564815</v>
      </c>
      <c r="C301" s="1" t="n">
        <v>45899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32439-2025</t>
        </is>
      </c>
      <c r="B302" s="1" t="n">
        <v>45838.3827662037</v>
      </c>
      <c r="C302" s="1" t="n">
        <v>45899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37441-2025</t>
        </is>
      </c>
      <c r="B303" s="1" t="n">
        <v>45877.54078703704</v>
      </c>
      <c r="C303" s="1" t="n">
        <v>45899</v>
      </c>
      <c r="D303" t="inlineStr">
        <is>
          <t>VÄSTERBOTTENS LÄN</t>
        </is>
      </c>
      <c r="E303" t="inlineStr">
        <is>
          <t>NORSJÖ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35598-2025</t>
        </is>
      </c>
      <c r="B304" s="1" t="n">
        <v>45858.7578125</v>
      </c>
      <c r="C304" s="1" t="n">
        <v>45899</v>
      </c>
      <c r="D304" t="inlineStr">
        <is>
          <t>VÄSTERBOTTENS LÄN</t>
        </is>
      </c>
      <c r="E304" t="inlineStr">
        <is>
          <t>NORSJÖ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38182-2025</t>
        </is>
      </c>
      <c r="B305" s="1" t="n">
        <v>45882.64671296296</v>
      </c>
      <c r="C305" s="1" t="n">
        <v>45899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37916-2025</t>
        </is>
      </c>
      <c r="B306" s="1" t="n">
        <v>45881.57440972222</v>
      </c>
      <c r="C306" s="1" t="n">
        <v>45899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38556-2025</t>
        </is>
      </c>
      <c r="B307" s="1" t="n">
        <v>45884.44443287037</v>
      </c>
      <c r="C307" s="1" t="n">
        <v>45899</v>
      </c>
      <c r="D307" t="inlineStr">
        <is>
          <t>VÄSTERBOTTENS LÄN</t>
        </is>
      </c>
      <c r="E307" t="inlineStr">
        <is>
          <t>NORSJÖ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39042-2023</t>
        </is>
      </c>
      <c r="B308" s="1" t="n">
        <v>45163.92680555556</v>
      </c>
      <c r="C308" s="1" t="n">
        <v>45899</v>
      </c>
      <c r="D308" t="inlineStr">
        <is>
          <t>VÄSTERBOTTENS LÄN</t>
        </is>
      </c>
      <c r="E308" t="inlineStr">
        <is>
          <t>NORSJÖ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6075-2024</t>
        </is>
      </c>
      <c r="B309" s="1" t="n">
        <v>45336.93761574074</v>
      </c>
      <c r="C309" s="1" t="n">
        <v>45899</v>
      </c>
      <c r="D309" t="inlineStr">
        <is>
          <t>VÄSTERBOTTENS LÄN</t>
        </is>
      </c>
      <c r="E309" t="inlineStr">
        <is>
          <t>NORSJÖ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33943-2025</t>
        </is>
      </c>
      <c r="B310" s="1" t="n">
        <v>45842.64652777778</v>
      </c>
      <c r="C310" s="1" t="n">
        <v>45899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12.3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57869-2023</t>
        </is>
      </c>
      <c r="B311" s="1" t="n">
        <v>45244</v>
      </c>
      <c r="C311" s="1" t="n">
        <v>45899</v>
      </c>
      <c r="D311" t="inlineStr">
        <is>
          <t>VÄSTERBOTTENS LÄN</t>
        </is>
      </c>
      <c r="E311" t="inlineStr">
        <is>
          <t>NORSJÖ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15395-2023</t>
        </is>
      </c>
      <c r="B312" s="1" t="n">
        <v>45019.65273148148</v>
      </c>
      <c r="C312" s="1" t="n">
        <v>45899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33901-2025</t>
        </is>
      </c>
      <c r="B313" s="1" t="n">
        <v>45842.59473379629</v>
      </c>
      <c r="C313" s="1" t="n">
        <v>45899</v>
      </c>
      <c r="D313" t="inlineStr">
        <is>
          <t>VÄSTERBOTTENS LÄN</t>
        </is>
      </c>
      <c r="E313" t="inlineStr">
        <is>
          <t>NORSJÖ</t>
        </is>
      </c>
      <c r="F313" t="inlineStr">
        <is>
          <t>Sveaskog</t>
        </is>
      </c>
      <c r="G313" t="n">
        <v>17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33894-2025</t>
        </is>
      </c>
      <c r="B314" s="1" t="n">
        <v>45842.58432870371</v>
      </c>
      <c r="C314" s="1" t="n">
        <v>45899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33787-2025</t>
        </is>
      </c>
      <c r="B315" s="1" t="n">
        <v>45842.41072916667</v>
      </c>
      <c r="C315" s="1" t="n">
        <v>45899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33615-2025</t>
        </is>
      </c>
      <c r="B316" s="1" t="n">
        <v>45841.621875</v>
      </c>
      <c r="C316" s="1" t="n">
        <v>45899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33893-2025</t>
        </is>
      </c>
      <c r="B317" s="1" t="n">
        <v>45842.57553240741</v>
      </c>
      <c r="C317" s="1" t="n">
        <v>45899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33920-2025</t>
        </is>
      </c>
      <c r="B318" s="1" t="n">
        <v>45842.61521990741</v>
      </c>
      <c r="C318" s="1" t="n">
        <v>45899</v>
      </c>
      <c r="D318" t="inlineStr">
        <is>
          <t>VÄSTERBOTTENS LÄN</t>
        </is>
      </c>
      <c r="E318" t="inlineStr">
        <is>
          <t>NORSJÖ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7979-2022</t>
        </is>
      </c>
      <c r="B319" s="1" t="n">
        <v>44608</v>
      </c>
      <c r="C319" s="1" t="n">
        <v>45899</v>
      </c>
      <c r="D319" t="inlineStr">
        <is>
          <t>VÄSTERBOTTENS LÄN</t>
        </is>
      </c>
      <c r="E319" t="inlineStr">
        <is>
          <t>NORSJÖ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33389-2025</t>
        </is>
      </c>
      <c r="B320" s="1" t="n">
        <v>45841.40692129629</v>
      </c>
      <c r="C320" s="1" t="n">
        <v>45899</v>
      </c>
      <c r="D320" t="inlineStr">
        <is>
          <t>VÄSTERBOTTENS LÄN</t>
        </is>
      </c>
      <c r="E320" t="inlineStr">
        <is>
          <t>NORSJÖ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1565-2024</t>
        </is>
      </c>
      <c r="B321" s="1" t="n">
        <v>45306.52886574074</v>
      </c>
      <c r="C321" s="1" t="n">
        <v>45899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39163-2025</t>
        </is>
      </c>
      <c r="B322" s="1" t="n">
        <v>45888.63672453703</v>
      </c>
      <c r="C322" s="1" t="n">
        <v>45899</v>
      </c>
      <c r="D322" t="inlineStr">
        <is>
          <t>VÄSTERBOTTENS LÄN</t>
        </is>
      </c>
      <c r="E322" t="inlineStr">
        <is>
          <t>NORSJÖ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39164-2025</t>
        </is>
      </c>
      <c r="B323" s="1" t="n">
        <v>45888.63680555556</v>
      </c>
      <c r="C323" s="1" t="n">
        <v>45899</v>
      </c>
      <c r="D323" t="inlineStr">
        <is>
          <t>VÄSTERBOTTENS LÄN</t>
        </is>
      </c>
      <c r="E323" t="inlineStr">
        <is>
          <t>NORSJÖ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34457-2025</t>
        </is>
      </c>
      <c r="B324" s="1" t="n">
        <v>45846</v>
      </c>
      <c r="C324" s="1" t="n">
        <v>45899</v>
      </c>
      <c r="D324" t="inlineStr">
        <is>
          <t>VÄSTERBOTTENS LÄN</t>
        </is>
      </c>
      <c r="E324" t="inlineStr">
        <is>
          <t>NORSJÖ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54712-2024</t>
        </is>
      </c>
      <c r="B325" s="1" t="n">
        <v>45617</v>
      </c>
      <c r="C325" s="1" t="n">
        <v>45899</v>
      </c>
      <c r="D325" t="inlineStr">
        <is>
          <t>VÄSTERBOTTENS LÄN</t>
        </is>
      </c>
      <c r="E325" t="inlineStr">
        <is>
          <t>NORSJÖ</t>
        </is>
      </c>
      <c r="G325" t="n">
        <v>16.6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23171-2024</t>
        </is>
      </c>
      <c r="B326" s="1" t="n">
        <v>45450</v>
      </c>
      <c r="C326" s="1" t="n">
        <v>45899</v>
      </c>
      <c r="D326" t="inlineStr">
        <is>
          <t>VÄSTERBOTTENS LÄN</t>
        </is>
      </c>
      <c r="E326" t="inlineStr">
        <is>
          <t>NORSJÖ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34564-2025</t>
        </is>
      </c>
      <c r="B327" s="1" t="n">
        <v>45846</v>
      </c>
      <c r="C327" s="1" t="n">
        <v>45899</v>
      </c>
      <c r="D327" t="inlineStr">
        <is>
          <t>VÄSTERBOTTENS LÄN</t>
        </is>
      </c>
      <c r="E327" t="inlineStr">
        <is>
          <t>NORSJÖ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2909-2023</t>
        </is>
      </c>
      <c r="B328" s="1" t="n">
        <v>44945</v>
      </c>
      <c r="C328" s="1" t="n">
        <v>45899</v>
      </c>
      <c r="D328" t="inlineStr">
        <is>
          <t>VÄSTERBOTTENS LÄN</t>
        </is>
      </c>
      <c r="E328" t="inlineStr">
        <is>
          <t>NORSJÖ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2370-2024</t>
        </is>
      </c>
      <c r="B329" s="1" t="n">
        <v>45310</v>
      </c>
      <c r="C329" s="1" t="n">
        <v>45899</v>
      </c>
      <c r="D329" t="inlineStr">
        <is>
          <t>VÄSTERBOTTENS LÄN</t>
        </is>
      </c>
      <c r="E329" t="inlineStr">
        <is>
          <t>NORSJÖ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38862-2025</t>
        </is>
      </c>
      <c r="B330" s="1" t="n">
        <v>45887.56513888889</v>
      </c>
      <c r="C330" s="1" t="n">
        <v>45899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38272-2023</t>
        </is>
      </c>
      <c r="B331" s="1" t="n">
        <v>45161</v>
      </c>
      <c r="C331" s="1" t="n">
        <v>45899</v>
      </c>
      <c r="D331" t="inlineStr">
        <is>
          <t>VÄSTERBOTTENS LÄN</t>
        </is>
      </c>
      <c r="E331" t="inlineStr">
        <is>
          <t>NORSJÖ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15379-2021</t>
        </is>
      </c>
      <c r="B332" s="1" t="n">
        <v>44284</v>
      </c>
      <c r="C332" s="1" t="n">
        <v>45899</v>
      </c>
      <c r="D332" t="inlineStr">
        <is>
          <t>VÄSTERBOTTENS LÄN</t>
        </is>
      </c>
      <c r="E332" t="inlineStr">
        <is>
          <t>NORSJÖ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50706-2022</t>
        </is>
      </c>
      <c r="B333" s="1" t="n">
        <v>44867</v>
      </c>
      <c r="C333" s="1" t="n">
        <v>45899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46860-2022</t>
        </is>
      </c>
      <c r="B334" s="1" t="n">
        <v>44848</v>
      </c>
      <c r="C334" s="1" t="n">
        <v>45899</v>
      </c>
      <c r="D334" t="inlineStr">
        <is>
          <t>VÄSTERBOTTENS LÄN</t>
        </is>
      </c>
      <c r="E334" t="inlineStr">
        <is>
          <t>NORSJÖ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41965-2024</t>
        </is>
      </c>
      <c r="B335" s="1" t="n">
        <v>45561</v>
      </c>
      <c r="C335" s="1" t="n">
        <v>45899</v>
      </c>
      <c r="D335" t="inlineStr">
        <is>
          <t>VÄSTERBOTTENS LÄN</t>
        </is>
      </c>
      <c r="E335" t="inlineStr">
        <is>
          <t>NORSJÖ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53442-2024</t>
        </is>
      </c>
      <c r="B336" s="1" t="n">
        <v>45614.5381712963</v>
      </c>
      <c r="C336" s="1" t="n">
        <v>45899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53457-2024</t>
        </is>
      </c>
      <c r="B337" s="1" t="n">
        <v>45614.54942129629</v>
      </c>
      <c r="C337" s="1" t="n">
        <v>45899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61025-2024</t>
        </is>
      </c>
      <c r="B338" s="1" t="n">
        <v>45644</v>
      </c>
      <c r="C338" s="1" t="n">
        <v>45899</v>
      </c>
      <c r="D338" t="inlineStr">
        <is>
          <t>VÄSTERBOTTENS LÄN</t>
        </is>
      </c>
      <c r="E338" t="inlineStr">
        <is>
          <t>NORSJÖ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39696-2025</t>
        </is>
      </c>
      <c r="B339" s="1" t="n">
        <v>45890.68950231482</v>
      </c>
      <c r="C339" s="1" t="n">
        <v>45899</v>
      </c>
      <c r="D339" t="inlineStr">
        <is>
          <t>VÄSTERBOTTENS LÄN</t>
        </is>
      </c>
      <c r="E339" t="inlineStr">
        <is>
          <t>NORSJÖ</t>
        </is>
      </c>
      <c r="F339" t="inlineStr">
        <is>
          <t>Sveaskog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25017-2024</t>
        </is>
      </c>
      <c r="B340" s="1" t="n">
        <v>45461</v>
      </c>
      <c r="C340" s="1" t="n">
        <v>45899</v>
      </c>
      <c r="D340" t="inlineStr">
        <is>
          <t>VÄSTERBOTTENS LÄN</t>
        </is>
      </c>
      <c r="E340" t="inlineStr">
        <is>
          <t>NORSJÖ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40108-2025</t>
        </is>
      </c>
      <c r="B341" s="1" t="n">
        <v>45894.49003472222</v>
      </c>
      <c r="C341" s="1" t="n">
        <v>45899</v>
      </c>
      <c r="D341" t="inlineStr">
        <is>
          <t>VÄSTERBOTTENS LÄN</t>
        </is>
      </c>
      <c r="E341" t="inlineStr">
        <is>
          <t>NORSJÖ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34909-2025</t>
        </is>
      </c>
      <c r="B342" s="1" t="n">
        <v>45849.53079861111</v>
      </c>
      <c r="C342" s="1" t="n">
        <v>45899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62743-2023</t>
        </is>
      </c>
      <c r="B343" s="1" t="n">
        <v>45271.61415509259</v>
      </c>
      <c r="C343" s="1" t="n">
        <v>45899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39989-2025</t>
        </is>
      </c>
      <c r="B344" s="1" t="n">
        <v>45891</v>
      </c>
      <c r="C344" s="1" t="n">
        <v>45899</v>
      </c>
      <c r="D344" t="inlineStr">
        <is>
          <t>VÄSTERBOTTENS LÄN</t>
        </is>
      </c>
      <c r="E344" t="inlineStr">
        <is>
          <t>NORSJÖ</t>
        </is>
      </c>
      <c r="G344" t="n">
        <v>48.2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51926-2022</t>
        </is>
      </c>
      <c r="B345" s="1" t="n">
        <v>44872</v>
      </c>
      <c r="C345" s="1" t="n">
        <v>45899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44214-2024</t>
        </is>
      </c>
      <c r="B346" s="1" t="n">
        <v>45573.37309027778</v>
      </c>
      <c r="C346" s="1" t="n">
        <v>45899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39722-2025</t>
        </is>
      </c>
      <c r="B347" s="1" t="n">
        <v>45891.33292824074</v>
      </c>
      <c r="C347" s="1" t="n">
        <v>45899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43630-2023</t>
        </is>
      </c>
      <c r="B348" s="1" t="n">
        <v>45184</v>
      </c>
      <c r="C348" s="1" t="n">
        <v>45899</v>
      </c>
      <c r="D348" t="inlineStr">
        <is>
          <t>VÄSTERBOTTENS LÄN</t>
        </is>
      </c>
      <c r="E348" t="inlineStr">
        <is>
          <t>NORSJÖ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38835-2023</t>
        </is>
      </c>
      <c r="B349" s="1" t="n">
        <v>45163</v>
      </c>
      <c r="C349" s="1" t="n">
        <v>45899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Sveaskog</t>
        </is>
      </c>
      <c r="G349" t="n">
        <v>24.3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37498-2023</t>
        </is>
      </c>
      <c r="B350" s="1" t="n">
        <v>45157</v>
      </c>
      <c r="C350" s="1" t="n">
        <v>45899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39804-2023</t>
        </is>
      </c>
      <c r="B351" s="1" t="n">
        <v>45167</v>
      </c>
      <c r="C351" s="1" t="n">
        <v>45899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Övriga Aktiebolag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39749-2025</t>
        </is>
      </c>
      <c r="B352" s="1" t="n">
        <v>45891.4024537037</v>
      </c>
      <c r="C352" s="1" t="n">
        <v>45899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53576-2024</t>
        </is>
      </c>
      <c r="B353" s="1" t="n">
        <v>45614.66203703704</v>
      </c>
      <c r="C353" s="1" t="n">
        <v>45899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40324-2025</t>
        </is>
      </c>
      <c r="B354" s="1" t="n">
        <v>45895.44799768519</v>
      </c>
      <c r="C354" s="1" t="n">
        <v>45899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33455-2024</t>
        </is>
      </c>
      <c r="B355" s="1" t="n">
        <v>45519.579375</v>
      </c>
      <c r="C355" s="1" t="n">
        <v>45899</v>
      </c>
      <c r="D355" t="inlineStr">
        <is>
          <t>VÄSTERBOTTENS LÄN</t>
        </is>
      </c>
      <c r="E355" t="inlineStr">
        <is>
          <t>NORSJÖ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48604-2023</t>
        </is>
      </c>
      <c r="B356" s="1" t="n">
        <v>45202</v>
      </c>
      <c r="C356" s="1" t="n">
        <v>45899</v>
      </c>
      <c r="D356" t="inlineStr">
        <is>
          <t>VÄSTERBOTTENS LÄN</t>
        </is>
      </c>
      <c r="E356" t="inlineStr">
        <is>
          <t>NORSJÖ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40423-2025</t>
        </is>
      </c>
      <c r="B357" s="1" t="n">
        <v>45895.58626157408</v>
      </c>
      <c r="C357" s="1" t="n">
        <v>45899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40436-2025</t>
        </is>
      </c>
      <c r="B358" s="1" t="n">
        <v>45895.61975694444</v>
      </c>
      <c r="C358" s="1" t="n">
        <v>45899</v>
      </c>
      <c r="D358" t="inlineStr">
        <is>
          <t>VÄSTERBOTTENS LÄN</t>
        </is>
      </c>
      <c r="E358" t="inlineStr">
        <is>
          <t>NORSJÖ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65392-2020</t>
        </is>
      </c>
      <c r="B359" s="1" t="n">
        <v>44169</v>
      </c>
      <c r="C359" s="1" t="n">
        <v>45899</v>
      </c>
      <c r="D359" t="inlineStr">
        <is>
          <t>VÄSTERBOTTENS LÄN</t>
        </is>
      </c>
      <c r="E359" t="inlineStr">
        <is>
          <t>NORSJÖ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40656-2025</t>
        </is>
      </c>
      <c r="B360" s="1" t="n">
        <v>45896.63652777778</v>
      </c>
      <c r="C360" s="1" t="n">
        <v>45899</v>
      </c>
      <c r="D360" t="inlineStr">
        <is>
          <t>VÄSTERBOTTENS LÄN</t>
        </is>
      </c>
      <c r="E360" t="inlineStr">
        <is>
          <t>NORSJÖ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40666-2025</t>
        </is>
      </c>
      <c r="B361" s="1" t="n">
        <v>45896.65674768519</v>
      </c>
      <c r="C361" s="1" t="n">
        <v>45899</v>
      </c>
      <c r="D361" t="inlineStr">
        <is>
          <t>VÄSTERBOTTENS LÄN</t>
        </is>
      </c>
      <c r="E361" t="inlineStr">
        <is>
          <t>NORSJÖ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35689-2024</t>
        </is>
      </c>
      <c r="B362" s="1" t="n">
        <v>45532.42689814815</v>
      </c>
      <c r="C362" s="1" t="n">
        <v>45899</v>
      </c>
      <c r="D362" t="inlineStr">
        <is>
          <t>VÄSTERBOTTENS LÄN</t>
        </is>
      </c>
      <c r="E362" t="inlineStr">
        <is>
          <t>NORSJÖ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12944-2025</t>
        </is>
      </c>
      <c r="B363" s="1" t="n">
        <v>45734</v>
      </c>
      <c r="C363" s="1" t="n">
        <v>45899</v>
      </c>
      <c r="D363" t="inlineStr">
        <is>
          <t>VÄSTERBOTTENS LÄN</t>
        </is>
      </c>
      <c r="E363" t="inlineStr">
        <is>
          <t>NORSJÖ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40262-2025</t>
        </is>
      </c>
      <c r="B364" s="1" t="n">
        <v>45895.33680555555</v>
      </c>
      <c r="C364" s="1" t="n">
        <v>45899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40282-2025</t>
        </is>
      </c>
      <c r="B365" s="1" t="n">
        <v>45895.36784722222</v>
      </c>
      <c r="C365" s="1" t="n">
        <v>45899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35446-2025</t>
        </is>
      </c>
      <c r="B366" s="1" t="n">
        <v>45855.54017361111</v>
      </c>
      <c r="C366" s="1" t="n">
        <v>45899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29733-2024</t>
        </is>
      </c>
      <c r="B367" s="1" t="n">
        <v>45485.37736111111</v>
      </c>
      <c r="C367" s="1" t="n">
        <v>45899</v>
      </c>
      <c r="D367" t="inlineStr">
        <is>
          <t>VÄSTERBOTTENS LÄN</t>
        </is>
      </c>
      <c r="E367" t="inlineStr">
        <is>
          <t>NORSJÖ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41218-2025</t>
        </is>
      </c>
      <c r="B368" s="1" t="n">
        <v>45898.58579861111</v>
      </c>
      <c r="C368" s="1" t="n">
        <v>45899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28808-2024</t>
        </is>
      </c>
      <c r="B369" s="1" t="n">
        <v>45478</v>
      </c>
      <c r="C369" s="1" t="n">
        <v>45899</v>
      </c>
      <c r="D369" t="inlineStr">
        <is>
          <t>VÄSTERBOTTENS LÄN</t>
        </is>
      </c>
      <c r="E369" t="inlineStr">
        <is>
          <t>NORSJÖ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40493-2023</t>
        </is>
      </c>
      <c r="B370" s="1" t="n">
        <v>45170</v>
      </c>
      <c r="C370" s="1" t="n">
        <v>45899</v>
      </c>
      <c r="D370" t="inlineStr">
        <is>
          <t>VÄSTERBOTTENS LÄN</t>
        </is>
      </c>
      <c r="E370" t="inlineStr">
        <is>
          <t>NORSJÖ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48611-2023</t>
        </is>
      </c>
      <c r="B371" s="1" t="n">
        <v>45202</v>
      </c>
      <c r="C371" s="1" t="n">
        <v>45899</v>
      </c>
      <c r="D371" t="inlineStr">
        <is>
          <t>VÄSTERBOTTENS LÄN</t>
        </is>
      </c>
      <c r="E371" t="inlineStr">
        <is>
          <t>NORSJÖ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41100-2023</t>
        </is>
      </c>
      <c r="B372" s="1" t="n">
        <v>45173.69394675926</v>
      </c>
      <c r="C372" s="1" t="n">
        <v>45899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30023-2024</t>
        </is>
      </c>
      <c r="B373" s="1" t="n">
        <v>45485</v>
      </c>
      <c r="C373" s="1" t="n">
        <v>45899</v>
      </c>
      <c r="D373" t="inlineStr">
        <is>
          <t>VÄSTERBOTTENS LÄN</t>
        </is>
      </c>
      <c r="E373" t="inlineStr">
        <is>
          <t>NORSJÖ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470-2023</t>
        </is>
      </c>
      <c r="B374" s="1" t="n">
        <v>44929.92520833333</v>
      </c>
      <c r="C374" s="1" t="n">
        <v>45899</v>
      </c>
      <c r="D374" t="inlineStr">
        <is>
          <t>VÄSTERBOTTENS LÄN</t>
        </is>
      </c>
      <c r="E374" t="inlineStr">
        <is>
          <t>NORSJÖ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39353-2023</t>
        </is>
      </c>
      <c r="B375" s="1" t="n">
        <v>45166</v>
      </c>
      <c r="C375" s="1" t="n">
        <v>45899</v>
      </c>
      <c r="D375" t="inlineStr">
        <is>
          <t>VÄSTERBOTTENS LÄN</t>
        </is>
      </c>
      <c r="E375" t="inlineStr">
        <is>
          <t>NORSJÖ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5770-2025</t>
        </is>
      </c>
      <c r="B376" s="1" t="n">
        <v>45694</v>
      </c>
      <c r="C376" s="1" t="n">
        <v>45899</v>
      </c>
      <c r="D376" t="inlineStr">
        <is>
          <t>VÄSTERBOTTENS LÄN</t>
        </is>
      </c>
      <c r="E376" t="inlineStr">
        <is>
          <t>NORSJÖ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55264-2024</t>
        </is>
      </c>
      <c r="B377" s="1" t="n">
        <v>45620</v>
      </c>
      <c r="C377" s="1" t="n">
        <v>45899</v>
      </c>
      <c r="D377" t="inlineStr">
        <is>
          <t>VÄSTERBOTTENS LÄN</t>
        </is>
      </c>
      <c r="E377" t="inlineStr">
        <is>
          <t>NORSJÖ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14742-2025</t>
        </is>
      </c>
      <c r="B378" s="1" t="n">
        <v>45742</v>
      </c>
      <c r="C378" s="1" t="n">
        <v>45899</v>
      </c>
      <c r="D378" t="inlineStr">
        <is>
          <t>VÄSTERBOTTENS LÄN</t>
        </is>
      </c>
      <c r="E378" t="inlineStr">
        <is>
          <t>NORSJÖ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14745-2025</t>
        </is>
      </c>
      <c r="B379" s="1" t="n">
        <v>45742.65658564815</v>
      </c>
      <c r="C379" s="1" t="n">
        <v>45899</v>
      </c>
      <c r="D379" t="inlineStr">
        <is>
          <t>VÄSTERBOTTENS LÄN</t>
        </is>
      </c>
      <c r="E379" t="inlineStr">
        <is>
          <t>NORSJÖ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16660-2025</t>
        </is>
      </c>
      <c r="B380" s="1" t="n">
        <v>45754.4134837963</v>
      </c>
      <c r="C380" s="1" t="n">
        <v>45899</v>
      </c>
      <c r="D380" t="inlineStr">
        <is>
          <t>VÄSTERBOTTENS LÄN</t>
        </is>
      </c>
      <c r="E380" t="inlineStr">
        <is>
          <t>NORSJÖ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15807-2025</t>
        </is>
      </c>
      <c r="B381" s="1" t="n">
        <v>45748.65944444444</v>
      </c>
      <c r="C381" s="1" t="n">
        <v>45899</v>
      </c>
      <c r="D381" t="inlineStr">
        <is>
          <t>VÄSTERBOTTENS LÄN</t>
        </is>
      </c>
      <c r="E381" t="inlineStr">
        <is>
          <t>NORSJÖ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14747-2025</t>
        </is>
      </c>
      <c r="B382" s="1" t="n">
        <v>45742.65665509259</v>
      </c>
      <c r="C382" s="1" t="n">
        <v>45899</v>
      </c>
      <c r="D382" t="inlineStr">
        <is>
          <t>VÄSTERBOTTENS LÄN</t>
        </is>
      </c>
      <c r="E382" t="inlineStr">
        <is>
          <t>NORSJÖ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29714-2024</t>
        </is>
      </c>
      <c r="B383" s="1" t="n">
        <v>45485.35091435185</v>
      </c>
      <c r="C383" s="1" t="n">
        <v>45899</v>
      </c>
      <c r="D383" t="inlineStr">
        <is>
          <t>VÄSTERBOTTENS LÄN</t>
        </is>
      </c>
      <c r="E383" t="inlineStr">
        <is>
          <t>NORSJÖ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28889-2021</t>
        </is>
      </c>
      <c r="B384" s="1" t="n">
        <v>44357.9190162037</v>
      </c>
      <c r="C384" s="1" t="n">
        <v>45899</v>
      </c>
      <c r="D384" t="inlineStr">
        <is>
          <t>VÄSTERBOTTENS LÄN</t>
        </is>
      </c>
      <c r="E384" t="inlineStr">
        <is>
          <t>NORSJÖ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10112-2025</t>
        </is>
      </c>
      <c r="B385" s="1" t="n">
        <v>45719</v>
      </c>
      <c r="C385" s="1" t="n">
        <v>45899</v>
      </c>
      <c r="D385" t="inlineStr">
        <is>
          <t>VÄSTERBOTTENS LÄN</t>
        </is>
      </c>
      <c r="E385" t="inlineStr">
        <is>
          <t>NORSJÖ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56090-2023</t>
        </is>
      </c>
      <c r="B386" s="1" t="n">
        <v>45240</v>
      </c>
      <c r="C386" s="1" t="n">
        <v>45899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12445-2025</t>
        </is>
      </c>
      <c r="B387" s="1" t="n">
        <v>45730.48341435185</v>
      </c>
      <c r="C387" s="1" t="n">
        <v>45899</v>
      </c>
      <c r="D387" t="inlineStr">
        <is>
          <t>VÄSTERBOTTENS LÄN</t>
        </is>
      </c>
      <c r="E387" t="inlineStr">
        <is>
          <t>NORSJÖ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38808-2023</t>
        </is>
      </c>
      <c r="B388" s="1" t="n">
        <v>45161</v>
      </c>
      <c r="C388" s="1" t="n">
        <v>45899</v>
      </c>
      <c r="D388" t="inlineStr">
        <is>
          <t>VÄSTERBOTTENS LÄN</t>
        </is>
      </c>
      <c r="E388" t="inlineStr">
        <is>
          <t>NORSJÖ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14983-2025</t>
        </is>
      </c>
      <c r="B389" s="1" t="n">
        <v>45743</v>
      </c>
      <c r="C389" s="1" t="n">
        <v>45899</v>
      </c>
      <c r="D389" t="inlineStr">
        <is>
          <t>VÄSTERBOTTENS LÄN</t>
        </is>
      </c>
      <c r="E389" t="inlineStr">
        <is>
          <t>NORSJÖ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56716-2022</t>
        </is>
      </c>
      <c r="B390" s="1" t="n">
        <v>44893.92828703704</v>
      </c>
      <c r="C390" s="1" t="n">
        <v>45899</v>
      </c>
      <c r="D390" t="inlineStr">
        <is>
          <t>VÄSTERBOTTENS LÄN</t>
        </is>
      </c>
      <c r="E390" t="inlineStr">
        <is>
          <t>NORSJÖ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53557-2021</t>
        </is>
      </c>
      <c r="B391" s="1" t="n">
        <v>44468</v>
      </c>
      <c r="C391" s="1" t="n">
        <v>45899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59814-2023</t>
        </is>
      </c>
      <c r="B392" s="1" t="n">
        <v>45257.50859953704</v>
      </c>
      <c r="C392" s="1" t="n">
        <v>45899</v>
      </c>
      <c r="D392" t="inlineStr">
        <is>
          <t>VÄSTERBOTTENS LÄN</t>
        </is>
      </c>
      <c r="E392" t="inlineStr">
        <is>
          <t>NORSJÖ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51000-2022</t>
        </is>
      </c>
      <c r="B393" s="1" t="n">
        <v>44867</v>
      </c>
      <c r="C393" s="1" t="n">
        <v>45899</v>
      </c>
      <c r="D393" t="inlineStr">
        <is>
          <t>VÄSTERBOTTENS LÄN</t>
        </is>
      </c>
      <c r="E393" t="inlineStr">
        <is>
          <t>NORSJÖ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11747-2025</t>
        </is>
      </c>
      <c r="B394" s="1" t="n">
        <v>45727.6358912037</v>
      </c>
      <c r="C394" s="1" t="n">
        <v>45899</v>
      </c>
      <c r="D394" t="inlineStr">
        <is>
          <t>VÄSTERBOTTENS LÄN</t>
        </is>
      </c>
      <c r="E394" t="inlineStr">
        <is>
          <t>NORSJÖ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39400-2024</t>
        </is>
      </c>
      <c r="B395" s="1" t="n">
        <v>45551.55501157408</v>
      </c>
      <c r="C395" s="1" t="n">
        <v>45899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41390-2023</t>
        </is>
      </c>
      <c r="B396" s="1" t="n">
        <v>45174.92260416667</v>
      </c>
      <c r="C396" s="1" t="n">
        <v>45899</v>
      </c>
      <c r="D396" t="inlineStr">
        <is>
          <t>VÄSTERBOTTENS LÄN</t>
        </is>
      </c>
      <c r="E396" t="inlineStr">
        <is>
          <t>NORSJÖ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37395-2024</t>
        </is>
      </c>
      <c r="B397" s="1" t="n">
        <v>45540.59734953703</v>
      </c>
      <c r="C397" s="1" t="n">
        <v>45899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13725-2025</t>
        </is>
      </c>
      <c r="B398" s="1" t="n">
        <v>45737.37833333333</v>
      </c>
      <c r="C398" s="1" t="n">
        <v>45899</v>
      </c>
      <c r="D398" t="inlineStr">
        <is>
          <t>VÄSTERBOTTENS LÄN</t>
        </is>
      </c>
      <c r="E398" t="inlineStr">
        <is>
          <t>NORSJÖ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49033-2024</t>
        </is>
      </c>
      <c r="B399" s="1" t="n">
        <v>45594</v>
      </c>
      <c r="C399" s="1" t="n">
        <v>45899</v>
      </c>
      <c r="D399" t="inlineStr">
        <is>
          <t>VÄSTERBOTTENS LÄN</t>
        </is>
      </c>
      <c r="E399" t="inlineStr">
        <is>
          <t>NORSJÖ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46776-2021</t>
        </is>
      </c>
      <c r="B400" s="1" t="n">
        <v>44445.92101851852</v>
      </c>
      <c r="C400" s="1" t="n">
        <v>45899</v>
      </c>
      <c r="D400" t="inlineStr">
        <is>
          <t>VÄSTERBOTTENS LÄN</t>
        </is>
      </c>
      <c r="E400" t="inlineStr">
        <is>
          <t>NORSJÖ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46018-2021</t>
        </is>
      </c>
      <c r="B401" s="1" t="n">
        <v>44441</v>
      </c>
      <c r="C401" s="1" t="n">
        <v>45899</v>
      </c>
      <c r="D401" t="inlineStr">
        <is>
          <t>VÄSTERBOTTENS LÄN</t>
        </is>
      </c>
      <c r="E401" t="inlineStr">
        <is>
          <t>NORSJÖ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25122-2024</t>
        </is>
      </c>
      <c r="B402" s="1" t="n">
        <v>45462.45252314815</v>
      </c>
      <c r="C402" s="1" t="n">
        <v>45899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25142-2024</t>
        </is>
      </c>
      <c r="B403" s="1" t="n">
        <v>45462</v>
      </c>
      <c r="C403" s="1" t="n">
        <v>45899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51407-2024</t>
        </is>
      </c>
      <c r="B404" s="1" t="n">
        <v>45604.42872685185</v>
      </c>
      <c r="C404" s="1" t="n">
        <v>45899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25735-2023</t>
        </is>
      </c>
      <c r="B405" s="1" t="n">
        <v>45090</v>
      </c>
      <c r="C405" s="1" t="n">
        <v>45899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12657-2023</t>
        </is>
      </c>
      <c r="B406" s="1" t="n">
        <v>44999</v>
      </c>
      <c r="C406" s="1" t="n">
        <v>45899</v>
      </c>
      <c r="D406" t="inlineStr">
        <is>
          <t>VÄSTERBOTTENS LÄN</t>
        </is>
      </c>
      <c r="E406" t="inlineStr">
        <is>
          <t>NORSJÖ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19421-2023</t>
        </is>
      </c>
      <c r="B407" s="1" t="n">
        <v>45049.92737268518</v>
      </c>
      <c r="C407" s="1" t="n">
        <v>45899</v>
      </c>
      <c r="D407" t="inlineStr">
        <is>
          <t>VÄSTERBOTTENS LÄN</t>
        </is>
      </c>
      <c r="E407" t="inlineStr">
        <is>
          <t>NORSJÖ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51297-2021</t>
        </is>
      </c>
      <c r="B408" s="1" t="n">
        <v>44461.59241898148</v>
      </c>
      <c r="C408" s="1" t="n">
        <v>45899</v>
      </c>
      <c r="D408" t="inlineStr">
        <is>
          <t>VÄSTERBOTTENS LÄN</t>
        </is>
      </c>
      <c r="E408" t="inlineStr">
        <is>
          <t>NORSJÖ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39067-2024</t>
        </is>
      </c>
      <c r="B409" s="1" t="n">
        <v>45548.53137731482</v>
      </c>
      <c r="C409" s="1" t="n">
        <v>45899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29275-2022</t>
        </is>
      </c>
      <c r="B410" s="1" t="n">
        <v>44750.674375</v>
      </c>
      <c r="C410" s="1" t="n">
        <v>45899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6076-2024</t>
        </is>
      </c>
      <c r="B411" s="1" t="n">
        <v>45336.93773148148</v>
      </c>
      <c r="C411" s="1" t="n">
        <v>45899</v>
      </c>
      <c r="D411" t="inlineStr">
        <is>
          <t>VÄSTERBOTTENS LÄN</t>
        </is>
      </c>
      <c r="E411" t="inlineStr">
        <is>
          <t>NORSJÖ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6079-2024</t>
        </is>
      </c>
      <c r="B412" s="1" t="n">
        <v>45336.93798611111</v>
      </c>
      <c r="C412" s="1" t="n">
        <v>45899</v>
      </c>
      <c r="D412" t="inlineStr">
        <is>
          <t>VÄSTERBOTTENS LÄN</t>
        </is>
      </c>
      <c r="E412" t="inlineStr">
        <is>
          <t>NORSJÖ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37428-2024</t>
        </is>
      </c>
      <c r="B413" s="1" t="n">
        <v>45540.64853009259</v>
      </c>
      <c r="C413" s="1" t="n">
        <v>45899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59131-2022</t>
        </is>
      </c>
      <c r="B414" s="1" t="n">
        <v>44904.44261574074</v>
      </c>
      <c r="C414" s="1" t="n">
        <v>45899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44584-2021</t>
        </is>
      </c>
      <c r="B415" s="1" t="n">
        <v>44435</v>
      </c>
      <c r="C415" s="1" t="n">
        <v>45899</v>
      </c>
      <c r="D415" t="inlineStr">
        <is>
          <t>VÄSTERBOTTENS LÄN</t>
        </is>
      </c>
      <c r="E415" t="inlineStr">
        <is>
          <t>NORSJÖ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26472-2021</t>
        </is>
      </c>
      <c r="B416" s="1" t="n">
        <v>44348.40371527777</v>
      </c>
      <c r="C416" s="1" t="n">
        <v>45899</v>
      </c>
      <c r="D416" t="inlineStr">
        <is>
          <t>VÄSTERBOTTENS LÄN</t>
        </is>
      </c>
      <c r="E416" t="inlineStr">
        <is>
          <t>NORSJÖ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8917-2022</t>
        </is>
      </c>
      <c r="B417" s="1" t="n">
        <v>44615</v>
      </c>
      <c r="C417" s="1" t="n">
        <v>45899</v>
      </c>
      <c r="D417" t="inlineStr">
        <is>
          <t>VÄSTERBOTTENS LÄN</t>
        </is>
      </c>
      <c r="E417" t="inlineStr">
        <is>
          <t>NORSJÖ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15874-2025</t>
        </is>
      </c>
      <c r="B418" s="1" t="n">
        <v>45749</v>
      </c>
      <c r="C418" s="1" t="n">
        <v>45899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2331-2025</t>
        </is>
      </c>
      <c r="B419" s="1" t="n">
        <v>45673.64859953704</v>
      </c>
      <c r="C419" s="1" t="n">
        <v>45899</v>
      </c>
      <c r="D419" t="inlineStr">
        <is>
          <t>VÄSTERBOTTENS LÄN</t>
        </is>
      </c>
      <c r="E419" t="inlineStr">
        <is>
          <t>NORSJÖ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44976-2023</t>
        </is>
      </c>
      <c r="B420" s="1" t="n">
        <v>45190</v>
      </c>
      <c r="C420" s="1" t="n">
        <v>45899</v>
      </c>
      <c r="D420" t="inlineStr">
        <is>
          <t>VÄSTERBOTTENS LÄN</t>
        </is>
      </c>
      <c r="E420" t="inlineStr">
        <is>
          <t>NORSJÖ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28949-2023</t>
        </is>
      </c>
      <c r="B421" s="1" t="n">
        <v>45104</v>
      </c>
      <c r="C421" s="1" t="n">
        <v>45899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6344-2025</t>
        </is>
      </c>
      <c r="B422" s="1" t="n">
        <v>45699.3434837963</v>
      </c>
      <c r="C422" s="1" t="n">
        <v>45899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14746-2025</t>
        </is>
      </c>
      <c r="B423" s="1" t="n">
        <v>45742.65662037037</v>
      </c>
      <c r="C423" s="1" t="n">
        <v>45899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59133-2024</t>
        </is>
      </c>
      <c r="B424" s="1" t="n">
        <v>45636</v>
      </c>
      <c r="C424" s="1" t="n">
        <v>45899</v>
      </c>
      <c r="D424" t="inlineStr">
        <is>
          <t>VÄSTERBOTTENS LÄN</t>
        </is>
      </c>
      <c r="E424" t="inlineStr">
        <is>
          <t>NORSJÖ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33080-2024</t>
        </is>
      </c>
      <c r="B425" s="1" t="n">
        <v>45517.67284722222</v>
      </c>
      <c r="C425" s="1" t="n">
        <v>45899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Holmen skog AB</t>
        </is>
      </c>
      <c r="G425" t="n">
        <v>25.2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28966-2023</t>
        </is>
      </c>
      <c r="B426" s="1" t="n">
        <v>45104</v>
      </c>
      <c r="C426" s="1" t="n">
        <v>45899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16030-2025</t>
        </is>
      </c>
      <c r="B427" s="1" t="n">
        <v>45748</v>
      </c>
      <c r="C427" s="1" t="n">
        <v>45899</v>
      </c>
      <c r="D427" t="inlineStr">
        <is>
          <t>VÄSTERBOTTENS LÄN</t>
        </is>
      </c>
      <c r="E427" t="inlineStr">
        <is>
          <t>NORSJÖ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34546-2024</t>
        </is>
      </c>
      <c r="B428" s="1" t="n">
        <v>45525.78375</v>
      </c>
      <c r="C428" s="1" t="n">
        <v>45899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2705-2023</t>
        </is>
      </c>
      <c r="B429" s="1" t="n">
        <v>44944.52116898148</v>
      </c>
      <c r="C429" s="1" t="n">
        <v>45899</v>
      </c>
      <c r="D429" t="inlineStr">
        <is>
          <t>VÄSTERBOTTENS LÄN</t>
        </is>
      </c>
      <c r="E429" t="inlineStr">
        <is>
          <t>NORSJÖ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26541-2024</t>
        </is>
      </c>
      <c r="B430" s="1" t="n">
        <v>45469.61785879629</v>
      </c>
      <c r="C430" s="1" t="n">
        <v>45899</v>
      </c>
      <c r="D430" t="inlineStr">
        <is>
          <t>VÄSTERBOTTENS LÄN</t>
        </is>
      </c>
      <c r="E430" t="inlineStr">
        <is>
          <t>NORSJÖ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35181-2024</t>
        </is>
      </c>
      <c r="B431" s="1" t="n">
        <v>45530.44527777778</v>
      </c>
      <c r="C431" s="1" t="n">
        <v>45899</v>
      </c>
      <c r="D431" t="inlineStr">
        <is>
          <t>VÄSTERBOTTENS LÄN</t>
        </is>
      </c>
      <c r="E431" t="inlineStr">
        <is>
          <t>NORSJÖ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61033-2022</t>
        </is>
      </c>
      <c r="B432" s="1" t="n">
        <v>44914</v>
      </c>
      <c r="C432" s="1" t="n">
        <v>45899</v>
      </c>
      <c r="D432" t="inlineStr">
        <is>
          <t>VÄSTERBOTTENS LÄN</t>
        </is>
      </c>
      <c r="E432" t="inlineStr">
        <is>
          <t>NORSJÖ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59135-2022</t>
        </is>
      </c>
      <c r="B433" s="1" t="n">
        <v>44904.44421296296</v>
      </c>
      <c r="C433" s="1" t="n">
        <v>45899</v>
      </c>
      <c r="D433" t="inlineStr">
        <is>
          <t>VÄSTERBOTTENS LÄN</t>
        </is>
      </c>
      <c r="E433" t="inlineStr">
        <is>
          <t>NORSJÖ</t>
        </is>
      </c>
      <c r="F433" t="inlineStr">
        <is>
          <t>Sveaskog</t>
        </is>
      </c>
      <c r="G433" t="n">
        <v>10.7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49034-2024</t>
        </is>
      </c>
      <c r="B434" s="1" t="n">
        <v>45594</v>
      </c>
      <c r="C434" s="1" t="n">
        <v>45899</v>
      </c>
      <c r="D434" t="inlineStr">
        <is>
          <t>VÄSTERBOTTENS LÄN</t>
        </is>
      </c>
      <c r="E434" t="inlineStr">
        <is>
          <t>NORSJÖ</t>
        </is>
      </c>
      <c r="G434" t="n">
        <v>15.3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32227-2024</t>
        </is>
      </c>
      <c r="B435" s="1" t="n">
        <v>45511.92836805555</v>
      </c>
      <c r="C435" s="1" t="n">
        <v>45899</v>
      </c>
      <c r="D435" t="inlineStr">
        <is>
          <t>VÄSTERBOTTENS LÄN</t>
        </is>
      </c>
      <c r="E435" t="inlineStr">
        <is>
          <t>NORSJÖ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32229-2024</t>
        </is>
      </c>
      <c r="B436" s="1" t="n">
        <v>45511.9284837963</v>
      </c>
      <c r="C436" s="1" t="n">
        <v>45899</v>
      </c>
      <c r="D436" t="inlineStr">
        <is>
          <t>VÄSTERBOTTENS LÄN</t>
        </is>
      </c>
      <c r="E436" t="inlineStr">
        <is>
          <t>NORSJÖ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32231-2024</t>
        </is>
      </c>
      <c r="B437" s="1" t="n">
        <v>45511.92864583333</v>
      </c>
      <c r="C437" s="1" t="n">
        <v>45899</v>
      </c>
      <c r="D437" t="inlineStr">
        <is>
          <t>VÄSTERBOTTENS LÄN</t>
        </is>
      </c>
      <c r="E437" t="inlineStr">
        <is>
          <t>NORSJÖ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51724-2024</t>
        </is>
      </c>
      <c r="B438" s="1" t="n">
        <v>45607.38243055555</v>
      </c>
      <c r="C438" s="1" t="n">
        <v>45899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40087-2023</t>
        </is>
      </c>
      <c r="B439" s="1" t="n">
        <v>45168</v>
      </c>
      <c r="C439" s="1" t="n">
        <v>45899</v>
      </c>
      <c r="D439" t="inlineStr">
        <is>
          <t>VÄSTERBOTTENS LÄN</t>
        </is>
      </c>
      <c r="E439" t="inlineStr">
        <is>
          <t>NORSJÖ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23170-2024</t>
        </is>
      </c>
      <c r="B440" s="1" t="n">
        <v>45450.92833333334</v>
      </c>
      <c r="C440" s="1" t="n">
        <v>45899</v>
      </c>
      <c r="D440" t="inlineStr">
        <is>
          <t>VÄSTERBOTTENS LÄN</t>
        </is>
      </c>
      <c r="E440" t="inlineStr">
        <is>
          <t>NORSJÖ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41003-2023</t>
        </is>
      </c>
      <c r="B441" s="1" t="n">
        <v>45161</v>
      </c>
      <c r="C441" s="1" t="n">
        <v>45899</v>
      </c>
      <c r="D441" t="inlineStr">
        <is>
          <t>VÄSTERBOTTENS LÄN</t>
        </is>
      </c>
      <c r="E441" t="inlineStr">
        <is>
          <t>NORSJÖ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34317-2024</t>
        </is>
      </c>
      <c r="B442" s="1" t="n">
        <v>45524.70659722222</v>
      </c>
      <c r="C442" s="1" t="n">
        <v>45899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37841-2023</t>
        </is>
      </c>
      <c r="B443" s="1" t="n">
        <v>45156</v>
      </c>
      <c r="C443" s="1" t="n">
        <v>45899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67677-2021</t>
        </is>
      </c>
      <c r="B444" s="1" t="n">
        <v>44524.9221412037</v>
      </c>
      <c r="C444" s="1" t="n">
        <v>45899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35179-2024</t>
        </is>
      </c>
      <c r="B445" s="1" t="n">
        <v>45530.44016203703</v>
      </c>
      <c r="C445" s="1" t="n">
        <v>45899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32891-2024</t>
        </is>
      </c>
      <c r="B446" s="1" t="n">
        <v>45516.83846064815</v>
      </c>
      <c r="C446" s="1" t="n">
        <v>45899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46710-2024</t>
        </is>
      </c>
      <c r="B447" s="1" t="n">
        <v>45583.44619212963</v>
      </c>
      <c r="C447" s="1" t="n">
        <v>45899</v>
      </c>
      <c r="D447" t="inlineStr">
        <is>
          <t>VÄSTERBOTTENS LÄN</t>
        </is>
      </c>
      <c r="E447" t="inlineStr">
        <is>
          <t>NORSJÖ</t>
        </is>
      </c>
      <c r="F447" t="inlineStr">
        <is>
          <t>Holmen skog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41325-2024</t>
        </is>
      </c>
      <c r="B448" s="1" t="n">
        <v>45559.65513888889</v>
      </c>
      <c r="C448" s="1" t="n">
        <v>45899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5790-2023</t>
        </is>
      </c>
      <c r="B449" s="1" t="n">
        <v>44963.44527777778</v>
      </c>
      <c r="C449" s="1" t="n">
        <v>45899</v>
      </c>
      <c r="D449" t="inlineStr">
        <is>
          <t>VÄSTERBOTTENS LÄN</t>
        </is>
      </c>
      <c r="E449" t="inlineStr">
        <is>
          <t>NORSJÖ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1557-2025</t>
        </is>
      </c>
      <c r="B450" s="1" t="n">
        <v>45670</v>
      </c>
      <c r="C450" s="1" t="n">
        <v>45899</v>
      </c>
      <c r="D450" t="inlineStr">
        <is>
          <t>VÄSTERBOTTENS LÄN</t>
        </is>
      </c>
      <c r="E450" t="inlineStr">
        <is>
          <t>NORSJÖ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1562-2025</t>
        </is>
      </c>
      <c r="B451" s="1" t="n">
        <v>45670.54126157407</v>
      </c>
      <c r="C451" s="1" t="n">
        <v>45899</v>
      </c>
      <c r="D451" t="inlineStr">
        <is>
          <t>VÄSTERBOTTENS LÄN</t>
        </is>
      </c>
      <c r="E451" t="inlineStr">
        <is>
          <t>NORSJÖ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52568-2024</t>
        </is>
      </c>
      <c r="B452" s="1" t="n">
        <v>45609.66168981481</v>
      </c>
      <c r="C452" s="1" t="n">
        <v>45899</v>
      </c>
      <c r="D452" t="inlineStr">
        <is>
          <t>VÄSTERBOTTENS LÄN</t>
        </is>
      </c>
      <c r="E452" t="inlineStr">
        <is>
          <t>NORSJÖ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38812-2023</t>
        </is>
      </c>
      <c r="B453" s="1" t="n">
        <v>45163</v>
      </c>
      <c r="C453" s="1" t="n">
        <v>45899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40385-2023</t>
        </is>
      </c>
      <c r="B454" s="1" t="n">
        <v>45169</v>
      </c>
      <c r="C454" s="1" t="n">
        <v>45899</v>
      </c>
      <c r="D454" t="inlineStr">
        <is>
          <t>VÄSTERBOTTENS LÄN</t>
        </is>
      </c>
      <c r="E454" t="inlineStr">
        <is>
          <t>NORSJÖ</t>
        </is>
      </c>
      <c r="G454" t="n">
        <v>37.1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19870-2024</t>
        </is>
      </c>
      <c r="B455" s="1" t="n">
        <v>45433.45328703704</v>
      </c>
      <c r="C455" s="1" t="n">
        <v>45899</v>
      </c>
      <c r="D455" t="inlineStr">
        <is>
          <t>VÄSTERBOTTENS LÄN</t>
        </is>
      </c>
      <c r="E455" t="inlineStr">
        <is>
          <t>NORSJÖ</t>
        </is>
      </c>
      <c r="F455" t="inlineStr">
        <is>
          <t>Holmen skog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16661-2025</t>
        </is>
      </c>
      <c r="B456" s="1" t="n">
        <v>45754.41447916667</v>
      </c>
      <c r="C456" s="1" t="n">
        <v>45899</v>
      </c>
      <c r="D456" t="inlineStr">
        <is>
          <t>VÄSTERBOTTENS LÄN</t>
        </is>
      </c>
      <c r="E456" t="inlineStr">
        <is>
          <t>NORSJÖ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48218-2024</t>
        </is>
      </c>
      <c r="B457" s="1" t="n">
        <v>45590.36043981482</v>
      </c>
      <c r="C457" s="1" t="n">
        <v>45899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13628-2025</t>
        </is>
      </c>
      <c r="B458" s="1" t="n">
        <v>45736</v>
      </c>
      <c r="C458" s="1" t="n">
        <v>45899</v>
      </c>
      <c r="D458" t="inlineStr">
        <is>
          <t>VÄSTERBOTTENS LÄN</t>
        </is>
      </c>
      <c r="E458" t="inlineStr">
        <is>
          <t>NORSJÖ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60782-2024</t>
        </is>
      </c>
      <c r="B459" s="1" t="n">
        <v>45644.59050925926</v>
      </c>
      <c r="C459" s="1" t="n">
        <v>45899</v>
      </c>
      <c r="D459" t="inlineStr">
        <is>
          <t>VÄSTERBOTTENS LÄN</t>
        </is>
      </c>
      <c r="E459" t="inlineStr">
        <is>
          <t>NORSJÖ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52133-2024</t>
        </is>
      </c>
      <c r="B460" s="1" t="n">
        <v>45608.48483796296</v>
      </c>
      <c r="C460" s="1" t="n">
        <v>45899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50796-2022</t>
        </is>
      </c>
      <c r="B461" s="1" t="n">
        <v>44867</v>
      </c>
      <c r="C461" s="1" t="n">
        <v>45899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25080-2024</t>
        </is>
      </c>
      <c r="B462" s="1" t="n">
        <v>45462.38275462963</v>
      </c>
      <c r="C462" s="1" t="n">
        <v>45899</v>
      </c>
      <c r="D462" t="inlineStr">
        <is>
          <t>VÄSTERBOTTENS LÄN</t>
        </is>
      </c>
      <c r="E462" t="inlineStr">
        <is>
          <t>NORSJÖ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25084-2024</t>
        </is>
      </c>
      <c r="B463" s="1" t="n">
        <v>45462.38805555556</v>
      </c>
      <c r="C463" s="1" t="n">
        <v>45899</v>
      </c>
      <c r="D463" t="inlineStr">
        <is>
          <t>VÄSTERBOTTENS LÄN</t>
        </is>
      </c>
      <c r="E463" t="inlineStr">
        <is>
          <t>NORSJÖ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1334-2025</t>
        </is>
      </c>
      <c r="B464" s="1" t="n">
        <v>45667.5803125</v>
      </c>
      <c r="C464" s="1" t="n">
        <v>45899</v>
      </c>
      <c r="D464" t="inlineStr">
        <is>
          <t>VÄSTERBOTTENS LÄN</t>
        </is>
      </c>
      <c r="E464" t="inlineStr">
        <is>
          <t>NORSJÖ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16231-2025</t>
        </is>
      </c>
      <c r="B465" s="1" t="n">
        <v>45750.65398148148</v>
      </c>
      <c r="C465" s="1" t="n">
        <v>45899</v>
      </c>
      <c r="D465" t="inlineStr">
        <is>
          <t>VÄSTERBOTTENS LÄN</t>
        </is>
      </c>
      <c r="E465" t="inlineStr">
        <is>
          <t>NORSJÖ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27457-2024</t>
        </is>
      </c>
      <c r="B466" s="1" t="n">
        <v>45474.43996527778</v>
      </c>
      <c r="C466" s="1" t="n">
        <v>45899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20.6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24819-2023</t>
        </is>
      </c>
      <c r="B467" s="1" t="n">
        <v>45084</v>
      </c>
      <c r="C467" s="1" t="n">
        <v>45899</v>
      </c>
      <c r="D467" t="inlineStr">
        <is>
          <t>VÄSTERBOTTENS LÄN</t>
        </is>
      </c>
      <c r="E467" t="inlineStr">
        <is>
          <t>NORSJÖ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47317-2024</t>
        </is>
      </c>
      <c r="B468" s="1" t="n">
        <v>45587.37518518518</v>
      </c>
      <c r="C468" s="1" t="n">
        <v>45899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29776-2023</t>
        </is>
      </c>
      <c r="B469" s="1" t="n">
        <v>45107</v>
      </c>
      <c r="C469" s="1" t="n">
        <v>45899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44366-2024</t>
        </is>
      </c>
      <c r="B470" s="1" t="n">
        <v>45573.64682870371</v>
      </c>
      <c r="C470" s="1" t="n">
        <v>45899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793-2024</t>
        </is>
      </c>
      <c r="B471" s="1" t="n">
        <v>45300</v>
      </c>
      <c r="C471" s="1" t="n">
        <v>45899</v>
      </c>
      <c r="D471" t="inlineStr">
        <is>
          <t>VÄSTERBOTTENS LÄN</t>
        </is>
      </c>
      <c r="E471" t="inlineStr">
        <is>
          <t>NORSJÖ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21002-2024</t>
        </is>
      </c>
      <c r="B472" s="1" t="n">
        <v>45439</v>
      </c>
      <c r="C472" s="1" t="n">
        <v>45899</v>
      </c>
      <c r="D472" t="inlineStr">
        <is>
          <t>VÄSTERBOTTENS LÄN</t>
        </is>
      </c>
      <c r="E472" t="inlineStr">
        <is>
          <t>NORSJÖ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40088-2023</t>
        </is>
      </c>
      <c r="B473" s="1" t="n">
        <v>45168</v>
      </c>
      <c r="C473" s="1" t="n">
        <v>45899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63319-2023</t>
        </is>
      </c>
      <c r="B474" s="1" t="n">
        <v>45273</v>
      </c>
      <c r="C474" s="1" t="n">
        <v>45899</v>
      </c>
      <c r="D474" t="inlineStr">
        <is>
          <t>VÄSTERBOTTENS LÄN</t>
        </is>
      </c>
      <c r="E474" t="inlineStr">
        <is>
          <t>NORSJÖ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53547-2024</t>
        </is>
      </c>
      <c r="B475" s="1" t="n">
        <v>45614.63747685185</v>
      </c>
      <c r="C475" s="1" t="n">
        <v>45899</v>
      </c>
      <c r="D475" t="inlineStr">
        <is>
          <t>VÄSTERBOTTENS LÄN</t>
        </is>
      </c>
      <c r="E475" t="inlineStr">
        <is>
          <t>NORSJÖ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38080-2023</t>
        </is>
      </c>
      <c r="B476" s="1" t="n">
        <v>45160</v>
      </c>
      <c r="C476" s="1" t="n">
        <v>45899</v>
      </c>
      <c r="D476" t="inlineStr">
        <is>
          <t>VÄSTERBOTTENS LÄN</t>
        </is>
      </c>
      <c r="E476" t="inlineStr">
        <is>
          <t>NORSJÖ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22218-2023</t>
        </is>
      </c>
      <c r="B477" s="1" t="n">
        <v>45069</v>
      </c>
      <c r="C477" s="1" t="n">
        <v>45899</v>
      </c>
      <c r="D477" t="inlineStr">
        <is>
          <t>VÄSTERBOTTENS LÄN</t>
        </is>
      </c>
      <c r="E477" t="inlineStr">
        <is>
          <t>NORSJÖ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9814-2024</t>
        </is>
      </c>
      <c r="B478" s="1" t="n">
        <v>45362.96918981482</v>
      </c>
      <c r="C478" s="1" t="n">
        <v>45899</v>
      </c>
      <c r="D478" t="inlineStr">
        <is>
          <t>VÄSTERBOTTENS LÄN</t>
        </is>
      </c>
      <c r="E478" t="inlineStr">
        <is>
          <t>NORSJÖ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38816-2023</t>
        </is>
      </c>
      <c r="B479" s="1" t="n">
        <v>45163</v>
      </c>
      <c r="C479" s="1" t="n">
        <v>45899</v>
      </c>
      <c r="D479" t="inlineStr">
        <is>
          <t>VÄSTERBOTTENS LÄN</t>
        </is>
      </c>
      <c r="E479" t="inlineStr">
        <is>
          <t>NORSJÖ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45899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45899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16228-2024</t>
        </is>
      </c>
      <c r="B482" s="1" t="n">
        <v>45406</v>
      </c>
      <c r="C482" s="1" t="n">
        <v>45899</v>
      </c>
      <c r="D482" t="inlineStr">
        <is>
          <t>VÄSTERBOTTENS LÄN</t>
        </is>
      </c>
      <c r="E482" t="inlineStr">
        <is>
          <t>NORSJÖ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39995-2021</t>
        </is>
      </c>
      <c r="B483" s="1" t="n">
        <v>44417</v>
      </c>
      <c r="C483" s="1" t="n">
        <v>45899</v>
      </c>
      <c r="D483" t="inlineStr">
        <is>
          <t>VÄSTERBOTTENS LÄN</t>
        </is>
      </c>
      <c r="E483" t="inlineStr">
        <is>
          <t>NORSJÖ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2964-2025</t>
        </is>
      </c>
      <c r="B484" s="1" t="n">
        <v>45678.45819444444</v>
      </c>
      <c r="C484" s="1" t="n">
        <v>45899</v>
      </c>
      <c r="D484" t="inlineStr">
        <is>
          <t>VÄSTERBOTTENS LÄN</t>
        </is>
      </c>
      <c r="E484" t="inlineStr">
        <is>
          <t>NORSJÖ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2965-2025</t>
        </is>
      </c>
      <c r="B485" s="1" t="n">
        <v>45678.45821759259</v>
      </c>
      <c r="C485" s="1" t="n">
        <v>45899</v>
      </c>
      <c r="D485" t="inlineStr">
        <is>
          <t>VÄSTERBOTTENS LÄN</t>
        </is>
      </c>
      <c r="E485" t="inlineStr">
        <is>
          <t>NORSJÖ</t>
        </is>
      </c>
      <c r="G485" t="n">
        <v>19.6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19412-2024</t>
        </is>
      </c>
      <c r="B486" s="1" t="n">
        <v>45429.40755787037</v>
      </c>
      <c r="C486" s="1" t="n">
        <v>45899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47205-2024</t>
        </is>
      </c>
      <c r="B487" s="1" t="n">
        <v>45586.63777777777</v>
      </c>
      <c r="C487" s="1" t="n">
        <v>45899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Holmen skog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47224-2024</t>
        </is>
      </c>
      <c r="B488" s="1" t="n">
        <v>45586.67015046296</v>
      </c>
      <c r="C488" s="1" t="n">
        <v>45899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60663-2024</t>
        </is>
      </c>
      <c r="B489" s="1" t="n">
        <v>45644</v>
      </c>
      <c r="C489" s="1" t="n">
        <v>45899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Kommuner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16036-2025</t>
        </is>
      </c>
      <c r="B490" s="1" t="n">
        <v>45748</v>
      </c>
      <c r="C490" s="1" t="n">
        <v>45899</v>
      </c>
      <c r="D490" t="inlineStr">
        <is>
          <t>VÄSTERBOTTENS LÄN</t>
        </is>
      </c>
      <c r="E490" t="inlineStr">
        <is>
          <t>NORSJÖ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2025-08-30T08:29:57Z</dcterms:created>
  <dcterms:modified xmlns:dcterms="http://purl.org/dc/terms/" xmlns:xsi="http://www.w3.org/2001/XMLSchema-instance" xsi:type="dcterms:W3CDTF">2025-08-30T08:29:57Z</dcterms:modified>
</cp:coreProperties>
</file>