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46158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46158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46158</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46158</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46158</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46158</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46158</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46158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46158</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46158</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46158</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46158</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46158</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46158</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46158</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46158</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46158</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46158</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46158</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46158</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65240-2023</t>
        </is>
      </c>
      <c r="B22" s="1" t="n">
        <v>45289</v>
      </c>
      <c r="C22" s="1" t="n">
        <v>46158</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46158</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46158</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46158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52538-2024</t>
        </is>
      </c>
      <c r="B26" s="1" t="n">
        <v>45609.62820601852</v>
      </c>
      <c r="C26" s="1" t="n">
        <v>46158</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38052-2024</t>
        </is>
      </c>
      <c r="B27" s="1" t="n">
        <v>45544.70700231481</v>
      </c>
      <c r="C27" s="1" t="n">
        <v>46158</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46158</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46158</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46158</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46158</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46158</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46158</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46158</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31162-2025</t>
        </is>
      </c>
      <c r="B35" s="1" t="n">
        <v>45832.65657407408</v>
      </c>
      <c r="C35" s="1" t="n">
        <v>46158</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5611-2026</t>
        </is>
      </c>
      <c r="B36" s="1" t="n">
        <v>46051.36436342593</v>
      </c>
      <c r="C36" s="1" t="n">
        <v>46158</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59767-2024</t>
        </is>
      </c>
      <c r="B37" s="1" t="n">
        <v>45639.56111111111</v>
      </c>
      <c r="C37" s="1" t="n">
        <v>46158</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53502-2025</t>
        </is>
      </c>
      <c r="B38" s="1" t="n">
        <v>45960.34290509259</v>
      </c>
      <c r="C38" s="1" t="n">
        <v>46158</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46158</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46666-2024</t>
        </is>
      </c>
      <c r="B40" s="1" t="n">
        <v>45583.37048611111</v>
      </c>
      <c r="C40" s="1" t="n">
        <v>46158</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46158</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46158</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19417-2026</t>
        </is>
      </c>
      <c r="B43" s="1" t="n">
        <v>46133.60679398148</v>
      </c>
      <c r="C43" s="1" t="n">
        <v>46158</v>
      </c>
      <c r="D43" t="inlineStr">
        <is>
          <t>VÄSTERBOTTENS LÄN</t>
        </is>
      </c>
      <c r="E43" t="inlineStr">
        <is>
          <t>NORSJÖ</t>
        </is>
      </c>
      <c r="F43" t="inlineStr">
        <is>
          <t>Holmen skog AB</t>
        </is>
      </c>
      <c r="G43" t="n">
        <v>9.9</v>
      </c>
      <c r="H43" t="n">
        <v>0</v>
      </c>
      <c r="I43" t="n">
        <v>1</v>
      </c>
      <c r="J43" t="n">
        <v>0</v>
      </c>
      <c r="K43" t="n">
        <v>0</v>
      </c>
      <c r="L43" t="n">
        <v>0</v>
      </c>
      <c r="M43" t="n">
        <v>0</v>
      </c>
      <c r="N43" t="n">
        <v>0</v>
      </c>
      <c r="O43" t="n">
        <v>0</v>
      </c>
      <c r="P43" t="n">
        <v>0</v>
      </c>
      <c r="Q43" t="n">
        <v>1</v>
      </c>
      <c r="R43" s="2" t="inlineStr">
        <is>
          <t>Dropptaggsvamp</t>
        </is>
      </c>
      <c r="S43">
        <f>HYPERLINK("https://klasma.github.io/Logging_2417/artfynd/A 19417-2026 artfynd.xlsx", "A 19417-2026")</f>
        <v/>
      </c>
      <c r="T43">
        <f>HYPERLINK("https://klasma.github.io/Logging_2417/kartor/A 19417-2026 karta.png", "A 19417-2026")</f>
        <v/>
      </c>
      <c r="V43">
        <f>HYPERLINK("https://klasma.github.io/Logging_2417/klagomål/A 19417-2026 FSC-klagomål.docx", "A 19417-2026")</f>
        <v/>
      </c>
      <c r="W43">
        <f>HYPERLINK("https://klasma.github.io/Logging_2417/klagomålsmail/A 19417-2026 FSC-klagomål mail.docx", "A 19417-2026")</f>
        <v/>
      </c>
      <c r="X43">
        <f>HYPERLINK("https://klasma.github.io/Logging_2417/tillsyn/A 19417-2026 tillsynsbegäran.docx", "A 19417-2026")</f>
        <v/>
      </c>
      <c r="Y43">
        <f>HYPERLINK("https://klasma.github.io/Logging_2417/tillsynsmail/A 19417-2026 tillsynsbegäran mail.docx", "A 19417-2026")</f>
        <v/>
      </c>
    </row>
    <row r="44" ht="15" customHeight="1">
      <c r="A44" t="inlineStr">
        <is>
          <t>A 55328-2024</t>
        </is>
      </c>
      <c r="B44" s="1" t="n">
        <v>45621.67853009259</v>
      </c>
      <c r="C44" s="1" t="n">
        <v>46158</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46158</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46158</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46158</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46158</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46158</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46158</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46158</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46158</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46158</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46158</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46158</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46158</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46158</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46158</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46158</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46158</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46158</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46158</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46158</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46158</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46158</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46158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46158</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46158</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46158</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46158</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46158</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46158</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46158</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46158</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46158</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46158</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46158</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46158</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46158</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46158</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46158</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46158</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46158</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46158</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53105-2022</t>
        </is>
      </c>
      <c r="B85" s="1" t="n">
        <v>44876</v>
      </c>
      <c r="C85" s="1" t="n">
        <v>46158</v>
      </c>
      <c r="D85" t="inlineStr">
        <is>
          <t>VÄSTERBOTTENS LÄN</t>
        </is>
      </c>
      <c r="E85" t="inlineStr">
        <is>
          <t>NORSJÖ</t>
        </is>
      </c>
      <c r="F85" t="inlineStr">
        <is>
          <t>Holmen skog AB</t>
        </is>
      </c>
      <c r="G85" t="n">
        <v>2</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46158</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46158</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47399-2022</t>
        </is>
      </c>
      <c r="B88" s="1" t="n">
        <v>44853</v>
      </c>
      <c r="C88" s="1" t="n">
        <v>46158</v>
      </c>
      <c r="D88" t="inlineStr">
        <is>
          <t>VÄSTERBOTTENS LÄN</t>
        </is>
      </c>
      <c r="E88" t="inlineStr">
        <is>
          <t>NORSJÖ</t>
        </is>
      </c>
      <c r="F88" t="inlineStr">
        <is>
          <t>Holmen skog AB</t>
        </is>
      </c>
      <c r="G88" t="n">
        <v>2.4</v>
      </c>
      <c r="H88" t="n">
        <v>0</v>
      </c>
      <c r="I88" t="n">
        <v>0</v>
      </c>
      <c r="J88" t="n">
        <v>0</v>
      </c>
      <c r="K88" t="n">
        <v>0</v>
      </c>
      <c r="L88" t="n">
        <v>0</v>
      </c>
      <c r="M88" t="n">
        <v>0</v>
      </c>
      <c r="N88" t="n">
        <v>0</v>
      </c>
      <c r="O88" t="n">
        <v>0</v>
      </c>
      <c r="P88" t="n">
        <v>0</v>
      </c>
      <c r="Q88" t="n">
        <v>0</v>
      </c>
      <c r="R88" s="2" t="inlineStr"/>
    </row>
    <row r="89" ht="15" customHeight="1">
      <c r="A89" t="inlineStr">
        <is>
          <t>A 34900-2021</t>
        </is>
      </c>
      <c r="B89" s="1" t="n">
        <v>44383.50582175926</v>
      </c>
      <c r="C89" s="1" t="n">
        <v>46158</v>
      </c>
      <c r="D89" t="inlineStr">
        <is>
          <t>VÄSTERBOTTENS LÄN</t>
        </is>
      </c>
      <c r="E89" t="inlineStr">
        <is>
          <t>NORSJÖ</t>
        </is>
      </c>
      <c r="G89" t="n">
        <v>6</v>
      </c>
      <c r="H89" t="n">
        <v>0</v>
      </c>
      <c r="I89" t="n">
        <v>0</v>
      </c>
      <c r="J89" t="n">
        <v>0</v>
      </c>
      <c r="K89" t="n">
        <v>0</v>
      </c>
      <c r="L89" t="n">
        <v>0</v>
      </c>
      <c r="M89" t="n">
        <v>0</v>
      </c>
      <c r="N89" t="n">
        <v>0</v>
      </c>
      <c r="O89" t="n">
        <v>0</v>
      </c>
      <c r="P89" t="n">
        <v>0</v>
      </c>
      <c r="Q89" t="n">
        <v>0</v>
      </c>
      <c r="R89" s="2" t="inlineStr"/>
    </row>
    <row r="90" ht="15" customHeight="1">
      <c r="A90" t="inlineStr">
        <is>
          <t>A 53345-2023</t>
        </is>
      </c>
      <c r="B90" s="1" t="n">
        <v>45229.64980324074</v>
      </c>
      <c r="C90" s="1" t="n">
        <v>46158</v>
      </c>
      <c r="D90" t="inlineStr">
        <is>
          <t>VÄSTERBOTTENS LÄN</t>
        </is>
      </c>
      <c r="E90" t="inlineStr">
        <is>
          <t>NORSJÖ</t>
        </is>
      </c>
      <c r="F90" t="inlineStr">
        <is>
          <t>Holmen skog AB</t>
        </is>
      </c>
      <c r="G90" t="n">
        <v>9</v>
      </c>
      <c r="H90" t="n">
        <v>0</v>
      </c>
      <c r="I90" t="n">
        <v>0</v>
      </c>
      <c r="J90" t="n">
        <v>0</v>
      </c>
      <c r="K90" t="n">
        <v>0</v>
      </c>
      <c r="L90" t="n">
        <v>0</v>
      </c>
      <c r="M90" t="n">
        <v>0</v>
      </c>
      <c r="N90" t="n">
        <v>0</v>
      </c>
      <c r="O90" t="n">
        <v>0</v>
      </c>
      <c r="P90" t="n">
        <v>0</v>
      </c>
      <c r="Q90" t="n">
        <v>0</v>
      </c>
      <c r="R90" s="2" t="inlineStr"/>
    </row>
    <row r="91" ht="15" customHeight="1">
      <c r="A91" t="inlineStr">
        <is>
          <t>A 46643-2024</t>
        </is>
      </c>
      <c r="B91" s="1" t="n">
        <v>45583.34958333334</v>
      </c>
      <c r="C91" s="1" t="n">
        <v>46158</v>
      </c>
      <c r="D91" t="inlineStr">
        <is>
          <t>VÄSTERBOTTENS LÄN</t>
        </is>
      </c>
      <c r="E91" t="inlineStr">
        <is>
          <t>NORSJÖ</t>
        </is>
      </c>
      <c r="F91" t="inlineStr">
        <is>
          <t>Holmen skog AB</t>
        </is>
      </c>
      <c r="G91" t="n">
        <v>4.3</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46158</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26385-2024</t>
        </is>
      </c>
      <c r="B93" s="1" t="n">
        <v>45469.42753472222</v>
      </c>
      <c r="C93" s="1" t="n">
        <v>46158</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46158</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46158</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63847-2025</t>
        </is>
      </c>
      <c r="B96" s="1" t="n">
        <v>46020.44150462963</v>
      </c>
      <c r="C96" s="1" t="n">
        <v>46158</v>
      </c>
      <c r="D96" t="inlineStr">
        <is>
          <t>VÄSTERBOTTENS LÄN</t>
        </is>
      </c>
      <c r="E96" t="inlineStr">
        <is>
          <t>NORSJÖ</t>
        </is>
      </c>
      <c r="G96" t="n">
        <v>1.2</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46158</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41323-2024</t>
        </is>
      </c>
      <c r="B98" s="1" t="n">
        <v>45559.65309027778</v>
      </c>
      <c r="C98" s="1" t="n">
        <v>46158</v>
      </c>
      <c r="D98" t="inlineStr">
        <is>
          <t>VÄSTERBOTTENS LÄN</t>
        </is>
      </c>
      <c r="E98" t="inlineStr">
        <is>
          <t>NORSJÖ</t>
        </is>
      </c>
      <c r="F98" t="inlineStr">
        <is>
          <t>Sveaskog</t>
        </is>
      </c>
      <c r="G98" t="n">
        <v>9.5</v>
      </c>
      <c r="H98" t="n">
        <v>0</v>
      </c>
      <c r="I98" t="n">
        <v>0</v>
      </c>
      <c r="J98" t="n">
        <v>0</v>
      </c>
      <c r="K98" t="n">
        <v>0</v>
      </c>
      <c r="L98" t="n">
        <v>0</v>
      </c>
      <c r="M98" t="n">
        <v>0</v>
      </c>
      <c r="N98" t="n">
        <v>0</v>
      </c>
      <c r="O98" t="n">
        <v>0</v>
      </c>
      <c r="P98" t="n">
        <v>0</v>
      </c>
      <c r="Q98" t="n">
        <v>0</v>
      </c>
      <c r="R98" s="2" t="inlineStr"/>
    </row>
    <row r="99" ht="15" customHeight="1">
      <c r="A99" t="inlineStr">
        <is>
          <t>A 24399-2024</t>
        </is>
      </c>
      <c r="B99" s="1" t="n">
        <v>45457.65552083333</v>
      </c>
      <c r="C99" s="1" t="n">
        <v>46158</v>
      </c>
      <c r="D99" t="inlineStr">
        <is>
          <t>VÄSTERBOTTENS LÄN</t>
        </is>
      </c>
      <c r="E99" t="inlineStr">
        <is>
          <t>NORSJÖ</t>
        </is>
      </c>
      <c r="F99" t="inlineStr">
        <is>
          <t>Holmen skog AB</t>
        </is>
      </c>
      <c r="G99" t="n">
        <v>6.1</v>
      </c>
      <c r="H99" t="n">
        <v>0</v>
      </c>
      <c r="I99" t="n">
        <v>0</v>
      </c>
      <c r="J99" t="n">
        <v>0</v>
      </c>
      <c r="K99" t="n">
        <v>0</v>
      </c>
      <c r="L99" t="n">
        <v>0</v>
      </c>
      <c r="M99" t="n">
        <v>0</v>
      </c>
      <c r="N99" t="n">
        <v>0</v>
      </c>
      <c r="O99" t="n">
        <v>0</v>
      </c>
      <c r="P99" t="n">
        <v>0</v>
      </c>
      <c r="Q99" t="n">
        <v>0</v>
      </c>
      <c r="R99" s="2" t="inlineStr"/>
    </row>
    <row r="100" ht="15" customHeight="1">
      <c r="A100" t="inlineStr">
        <is>
          <t>A 32236-2024</t>
        </is>
      </c>
      <c r="B100" s="1" t="n">
        <v>45511.92907407408</v>
      </c>
      <c r="C100" s="1" t="n">
        <v>46158</v>
      </c>
      <c r="D100" t="inlineStr">
        <is>
          <t>VÄSTERBOTTENS LÄN</t>
        </is>
      </c>
      <c r="E100" t="inlineStr">
        <is>
          <t>NORSJÖ</t>
        </is>
      </c>
      <c r="G100" t="n">
        <v>5.6</v>
      </c>
      <c r="H100" t="n">
        <v>0</v>
      </c>
      <c r="I100" t="n">
        <v>0</v>
      </c>
      <c r="J100" t="n">
        <v>0</v>
      </c>
      <c r="K100" t="n">
        <v>0</v>
      </c>
      <c r="L100" t="n">
        <v>0</v>
      </c>
      <c r="M100" t="n">
        <v>0</v>
      </c>
      <c r="N100" t="n">
        <v>0</v>
      </c>
      <c r="O100" t="n">
        <v>0</v>
      </c>
      <c r="P100" t="n">
        <v>0</v>
      </c>
      <c r="Q100" t="n">
        <v>0</v>
      </c>
      <c r="R100" s="2" t="inlineStr"/>
    </row>
    <row r="101" ht="15" customHeight="1">
      <c r="A101" t="inlineStr">
        <is>
          <t>A 33623-2023</t>
        </is>
      </c>
      <c r="B101" s="1" t="n">
        <v>45132.38693287037</v>
      </c>
      <c r="C101" s="1" t="n">
        <v>46158</v>
      </c>
      <c r="D101" t="inlineStr">
        <is>
          <t>VÄSTERBOTTENS LÄN</t>
        </is>
      </c>
      <c r="E101" t="inlineStr">
        <is>
          <t>NORSJÖ</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46158</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63843-2025</t>
        </is>
      </c>
      <c r="B103" s="1" t="n">
        <v>46020.43430555556</v>
      </c>
      <c r="C103" s="1" t="n">
        <v>46158</v>
      </c>
      <c r="D103" t="inlineStr">
        <is>
          <t>VÄSTERBOTTENS LÄN</t>
        </is>
      </c>
      <c r="E103" t="inlineStr">
        <is>
          <t>NORSJÖ</t>
        </is>
      </c>
      <c r="G103" t="n">
        <v>5</v>
      </c>
      <c r="H103" t="n">
        <v>0</v>
      </c>
      <c r="I103" t="n">
        <v>0</v>
      </c>
      <c r="J103" t="n">
        <v>0</v>
      </c>
      <c r="K103" t="n">
        <v>0</v>
      </c>
      <c r="L103" t="n">
        <v>0</v>
      </c>
      <c r="M103" t="n">
        <v>0</v>
      </c>
      <c r="N103" t="n">
        <v>0</v>
      </c>
      <c r="O103" t="n">
        <v>0</v>
      </c>
      <c r="P103" t="n">
        <v>0</v>
      </c>
      <c r="Q103" t="n">
        <v>0</v>
      </c>
      <c r="R103" s="2" t="inlineStr"/>
    </row>
    <row r="104" ht="15" customHeight="1">
      <c r="A104" t="inlineStr">
        <is>
          <t>A 25074-2024</t>
        </is>
      </c>
      <c r="B104" s="1" t="n">
        <v>45462.37814814815</v>
      </c>
      <c r="C104" s="1" t="n">
        <v>46158</v>
      </c>
      <c r="D104" t="inlineStr">
        <is>
          <t>VÄSTERBOTTENS LÄN</t>
        </is>
      </c>
      <c r="E104" t="inlineStr">
        <is>
          <t>NORSJÖ</t>
        </is>
      </c>
      <c r="G104" t="n">
        <v>1</v>
      </c>
      <c r="H104" t="n">
        <v>0</v>
      </c>
      <c r="I104" t="n">
        <v>0</v>
      </c>
      <c r="J104" t="n">
        <v>0</v>
      </c>
      <c r="K104" t="n">
        <v>0</v>
      </c>
      <c r="L104" t="n">
        <v>0</v>
      </c>
      <c r="M104" t="n">
        <v>0</v>
      </c>
      <c r="N104" t="n">
        <v>0</v>
      </c>
      <c r="O104" t="n">
        <v>0</v>
      </c>
      <c r="P104" t="n">
        <v>0</v>
      </c>
      <c r="Q104" t="n">
        <v>0</v>
      </c>
      <c r="R104" s="2" t="inlineStr"/>
    </row>
    <row r="105" ht="15" customHeight="1">
      <c r="A105" t="inlineStr">
        <is>
          <t>A 38776-2023</t>
        </is>
      </c>
      <c r="B105" s="1" t="n">
        <v>45163</v>
      </c>
      <c r="C105" s="1" t="n">
        <v>46158</v>
      </c>
      <c r="D105" t="inlineStr">
        <is>
          <t>VÄSTERBOTTENS LÄN</t>
        </is>
      </c>
      <c r="E105" t="inlineStr">
        <is>
          <t>NORSJÖ</t>
        </is>
      </c>
      <c r="F105" t="inlineStr">
        <is>
          <t>Sveaskog</t>
        </is>
      </c>
      <c r="G105" t="n">
        <v>19.6</v>
      </c>
      <c r="H105" t="n">
        <v>0</v>
      </c>
      <c r="I105" t="n">
        <v>0</v>
      </c>
      <c r="J105" t="n">
        <v>0</v>
      </c>
      <c r="K105" t="n">
        <v>0</v>
      </c>
      <c r="L105" t="n">
        <v>0</v>
      </c>
      <c r="M105" t="n">
        <v>0</v>
      </c>
      <c r="N105" t="n">
        <v>0</v>
      </c>
      <c r="O105" t="n">
        <v>0</v>
      </c>
      <c r="P105" t="n">
        <v>0</v>
      </c>
      <c r="Q105" t="n">
        <v>0</v>
      </c>
      <c r="R105" s="2" t="inlineStr"/>
    </row>
    <row r="106" ht="15" customHeight="1">
      <c r="A106" t="inlineStr">
        <is>
          <t>A 12800-2024</t>
        </is>
      </c>
      <c r="B106" s="1" t="n">
        <v>45384</v>
      </c>
      <c r="C106" s="1" t="n">
        <v>46158</v>
      </c>
      <c r="D106" t="inlineStr">
        <is>
          <t>VÄSTERBOTTENS LÄN</t>
        </is>
      </c>
      <c r="E106" t="inlineStr">
        <is>
          <t>NORSJÖ</t>
        </is>
      </c>
      <c r="G106" t="n">
        <v>1</v>
      </c>
      <c r="H106" t="n">
        <v>0</v>
      </c>
      <c r="I106" t="n">
        <v>0</v>
      </c>
      <c r="J106" t="n">
        <v>0</v>
      </c>
      <c r="K106" t="n">
        <v>0</v>
      </c>
      <c r="L106" t="n">
        <v>0</v>
      </c>
      <c r="M106" t="n">
        <v>0</v>
      </c>
      <c r="N106" t="n">
        <v>0</v>
      </c>
      <c r="O106" t="n">
        <v>0</v>
      </c>
      <c r="P106" t="n">
        <v>0</v>
      </c>
      <c r="Q106" t="n">
        <v>0</v>
      </c>
      <c r="R106" s="2" t="inlineStr"/>
    </row>
    <row r="107" ht="15" customHeight="1">
      <c r="A107" t="inlineStr">
        <is>
          <t>A 37057-2023</t>
        </is>
      </c>
      <c r="B107" s="1" t="n">
        <v>45155</v>
      </c>
      <c r="C107" s="1" t="n">
        <v>46158</v>
      </c>
      <c r="D107" t="inlineStr">
        <is>
          <t>VÄSTERBOTTENS LÄN</t>
        </is>
      </c>
      <c r="E107" t="inlineStr">
        <is>
          <t>NORSJÖ</t>
        </is>
      </c>
      <c r="F107" t="inlineStr">
        <is>
          <t>Kommuner</t>
        </is>
      </c>
      <c r="G107" t="n">
        <v>1.4</v>
      </c>
      <c r="H107" t="n">
        <v>0</v>
      </c>
      <c r="I107" t="n">
        <v>0</v>
      </c>
      <c r="J107" t="n">
        <v>0</v>
      </c>
      <c r="K107" t="n">
        <v>0</v>
      </c>
      <c r="L107" t="n">
        <v>0</v>
      </c>
      <c r="M107" t="n">
        <v>0</v>
      </c>
      <c r="N107" t="n">
        <v>0</v>
      </c>
      <c r="O107" t="n">
        <v>0</v>
      </c>
      <c r="P107" t="n">
        <v>0</v>
      </c>
      <c r="Q107" t="n">
        <v>0</v>
      </c>
      <c r="R107" s="2" t="inlineStr"/>
    </row>
    <row r="108" ht="15" customHeight="1">
      <c r="A108" t="inlineStr">
        <is>
          <t>A 23971-2025</t>
        </is>
      </c>
      <c r="B108" s="1" t="n">
        <v>45796.38513888889</v>
      </c>
      <c r="C108" s="1" t="n">
        <v>46158</v>
      </c>
      <c r="D108" t="inlineStr">
        <is>
          <t>VÄSTERBOTTENS LÄN</t>
        </is>
      </c>
      <c r="E108" t="inlineStr">
        <is>
          <t>NORSJÖ</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24171-2025</t>
        </is>
      </c>
      <c r="B109" s="1" t="n">
        <v>45796.68282407407</v>
      </c>
      <c r="C109" s="1" t="n">
        <v>46158</v>
      </c>
      <c r="D109" t="inlineStr">
        <is>
          <t>VÄSTERBOTTENS LÄN</t>
        </is>
      </c>
      <c r="E109" t="inlineStr">
        <is>
          <t>NORSJÖ</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32230-2024</t>
        </is>
      </c>
      <c r="B110" s="1" t="n">
        <v>45511.92854166667</v>
      </c>
      <c r="C110" s="1" t="n">
        <v>46158</v>
      </c>
      <c r="D110" t="inlineStr">
        <is>
          <t>VÄSTERBOTTENS LÄN</t>
        </is>
      </c>
      <c r="E110" t="inlineStr">
        <is>
          <t>NORSJÖ</t>
        </is>
      </c>
      <c r="G110" t="n">
        <v>4.2</v>
      </c>
      <c r="H110" t="n">
        <v>0</v>
      </c>
      <c r="I110" t="n">
        <v>0</v>
      </c>
      <c r="J110" t="n">
        <v>0</v>
      </c>
      <c r="K110" t="n">
        <v>0</v>
      </c>
      <c r="L110" t="n">
        <v>0</v>
      </c>
      <c r="M110" t="n">
        <v>0</v>
      </c>
      <c r="N110" t="n">
        <v>0</v>
      </c>
      <c r="O110" t="n">
        <v>0</v>
      </c>
      <c r="P110" t="n">
        <v>0</v>
      </c>
      <c r="Q110" t="n">
        <v>0</v>
      </c>
      <c r="R110" s="2" t="inlineStr"/>
    </row>
    <row r="111" ht="15" customHeight="1">
      <c r="A111" t="inlineStr">
        <is>
          <t>A 24676-2025</t>
        </is>
      </c>
      <c r="B111" s="1" t="n">
        <v>45798.65332175926</v>
      </c>
      <c r="C111" s="1" t="n">
        <v>46158</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46158</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39163-2025</t>
        </is>
      </c>
      <c r="B113" s="1" t="n">
        <v>45888.63672453703</v>
      </c>
      <c r="C113" s="1" t="n">
        <v>46158</v>
      </c>
      <c r="D113" t="inlineStr">
        <is>
          <t>VÄSTERBOTTENS LÄN</t>
        </is>
      </c>
      <c r="E113" t="inlineStr">
        <is>
          <t>NORSJÖ</t>
        </is>
      </c>
      <c r="F113" t="inlineStr">
        <is>
          <t>SCA</t>
        </is>
      </c>
      <c r="G113" t="n">
        <v>3.2</v>
      </c>
      <c r="H113" t="n">
        <v>0</v>
      </c>
      <c r="I113" t="n">
        <v>0</v>
      </c>
      <c r="J113" t="n">
        <v>0</v>
      </c>
      <c r="K113" t="n">
        <v>0</v>
      </c>
      <c r="L113" t="n">
        <v>0</v>
      </c>
      <c r="M113" t="n">
        <v>0</v>
      </c>
      <c r="N113" t="n">
        <v>0</v>
      </c>
      <c r="O113" t="n">
        <v>0</v>
      </c>
      <c r="P113" t="n">
        <v>0</v>
      </c>
      <c r="Q113" t="n">
        <v>0</v>
      </c>
      <c r="R113" s="2" t="inlineStr"/>
    </row>
    <row r="114" ht="15" customHeight="1">
      <c r="A114" t="inlineStr">
        <is>
          <t>A 38862-2025</t>
        </is>
      </c>
      <c r="B114" s="1" t="n">
        <v>45887.56513888889</v>
      </c>
      <c r="C114" s="1" t="n">
        <v>46158</v>
      </c>
      <c r="D114" t="inlineStr">
        <is>
          <t>VÄSTERBOTTENS LÄN</t>
        </is>
      </c>
      <c r="E114" t="inlineStr">
        <is>
          <t>NORSJÖ</t>
        </is>
      </c>
      <c r="F114" t="inlineStr">
        <is>
          <t>Holmen skog AB</t>
        </is>
      </c>
      <c r="G114" t="n">
        <v>4.8</v>
      </c>
      <c r="H114" t="n">
        <v>0</v>
      </c>
      <c r="I114" t="n">
        <v>0</v>
      </c>
      <c r="J114" t="n">
        <v>0</v>
      </c>
      <c r="K114" t="n">
        <v>0</v>
      </c>
      <c r="L114" t="n">
        <v>0</v>
      </c>
      <c r="M114" t="n">
        <v>0</v>
      </c>
      <c r="N114" t="n">
        <v>0</v>
      </c>
      <c r="O114" t="n">
        <v>0</v>
      </c>
      <c r="P114" t="n">
        <v>0</v>
      </c>
      <c r="Q114" t="n">
        <v>0</v>
      </c>
      <c r="R114" s="2" t="inlineStr"/>
    </row>
    <row r="115" ht="15" customHeight="1">
      <c r="A115" t="inlineStr">
        <is>
          <t>A 24932-2025</t>
        </is>
      </c>
      <c r="B115" s="1" t="n">
        <v>45799.55607638889</v>
      </c>
      <c r="C115" s="1" t="n">
        <v>46158</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46158</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46158</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24930-2025</t>
        </is>
      </c>
      <c r="B118" s="1" t="n">
        <v>45799.55508101852</v>
      </c>
      <c r="C118" s="1" t="n">
        <v>46158</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39696-2025</t>
        </is>
      </c>
      <c r="B119" s="1" t="n">
        <v>45890.68950231482</v>
      </c>
      <c r="C119" s="1" t="n">
        <v>46158</v>
      </c>
      <c r="D119" t="inlineStr">
        <is>
          <t>VÄSTERBOTTENS LÄN</t>
        </is>
      </c>
      <c r="E119" t="inlineStr">
        <is>
          <t>NORSJÖ</t>
        </is>
      </c>
      <c r="F119" t="inlineStr">
        <is>
          <t>Sveaskog</t>
        </is>
      </c>
      <c r="G119" t="n">
        <v>16.6</v>
      </c>
      <c r="H119" t="n">
        <v>0</v>
      </c>
      <c r="I119" t="n">
        <v>0</v>
      </c>
      <c r="J119" t="n">
        <v>0</v>
      </c>
      <c r="K119" t="n">
        <v>0</v>
      </c>
      <c r="L119" t="n">
        <v>0</v>
      </c>
      <c r="M119" t="n">
        <v>0</v>
      </c>
      <c r="N119" t="n">
        <v>0</v>
      </c>
      <c r="O119" t="n">
        <v>0</v>
      </c>
      <c r="P119" t="n">
        <v>0</v>
      </c>
      <c r="Q119" t="n">
        <v>0</v>
      </c>
      <c r="R119" s="2" t="inlineStr"/>
    </row>
    <row r="120" ht="15" customHeight="1">
      <c r="A120" t="inlineStr">
        <is>
          <t>A 30019-2024</t>
        </is>
      </c>
      <c r="B120" s="1" t="n">
        <v>45485</v>
      </c>
      <c r="C120" s="1" t="n">
        <v>46158</v>
      </c>
      <c r="D120" t="inlineStr">
        <is>
          <t>VÄSTERBOTTENS LÄN</t>
        </is>
      </c>
      <c r="E120" t="inlineStr">
        <is>
          <t>NORSJÖ</t>
        </is>
      </c>
      <c r="G120" t="n">
        <v>2.4</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46158</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24935-2025</t>
        </is>
      </c>
      <c r="B122" s="1" t="n">
        <v>45799.55739583333</v>
      </c>
      <c r="C122" s="1" t="n">
        <v>46158</v>
      </c>
      <c r="D122" t="inlineStr">
        <is>
          <t>VÄSTERBOTTENS LÄN</t>
        </is>
      </c>
      <c r="E122" t="inlineStr">
        <is>
          <t>NORSJÖ</t>
        </is>
      </c>
      <c r="G122" t="n">
        <v>5.1</v>
      </c>
      <c r="H122" t="n">
        <v>0</v>
      </c>
      <c r="I122" t="n">
        <v>0</v>
      </c>
      <c r="J122" t="n">
        <v>0</v>
      </c>
      <c r="K122" t="n">
        <v>0</v>
      </c>
      <c r="L122" t="n">
        <v>0</v>
      </c>
      <c r="M122" t="n">
        <v>0</v>
      </c>
      <c r="N122" t="n">
        <v>0</v>
      </c>
      <c r="O122" t="n">
        <v>0</v>
      </c>
      <c r="P122" t="n">
        <v>0</v>
      </c>
      <c r="Q122" t="n">
        <v>0</v>
      </c>
      <c r="R122" s="2" t="inlineStr"/>
    </row>
    <row r="123" ht="15" customHeight="1">
      <c r="A123" t="inlineStr">
        <is>
          <t>A 58592-2024</t>
        </is>
      </c>
      <c r="B123" s="1" t="n">
        <v>45635</v>
      </c>
      <c r="C123" s="1" t="n">
        <v>46158</v>
      </c>
      <c r="D123" t="inlineStr">
        <is>
          <t>VÄSTERBOTTENS LÄN</t>
        </is>
      </c>
      <c r="E123" t="inlineStr">
        <is>
          <t>NORSJÖ</t>
        </is>
      </c>
      <c r="G123" t="n">
        <v>2.2</v>
      </c>
      <c r="H123" t="n">
        <v>0</v>
      </c>
      <c r="I123" t="n">
        <v>0</v>
      </c>
      <c r="J123" t="n">
        <v>0</v>
      </c>
      <c r="K123" t="n">
        <v>0</v>
      </c>
      <c r="L123" t="n">
        <v>0</v>
      </c>
      <c r="M123" t="n">
        <v>0</v>
      </c>
      <c r="N123" t="n">
        <v>0</v>
      </c>
      <c r="O123" t="n">
        <v>0</v>
      </c>
      <c r="P123" t="n">
        <v>0</v>
      </c>
      <c r="Q123" t="n">
        <v>0</v>
      </c>
      <c r="R123" s="2" t="inlineStr"/>
    </row>
    <row r="124" ht="15" customHeight="1">
      <c r="A124" t="inlineStr">
        <is>
          <t>A 55405-2024</t>
        </is>
      </c>
      <c r="B124" s="1" t="n">
        <v>45621</v>
      </c>
      <c r="C124" s="1" t="n">
        <v>46158</v>
      </c>
      <c r="D124" t="inlineStr">
        <is>
          <t>VÄSTERBOTTENS LÄN</t>
        </is>
      </c>
      <c r="E124" t="inlineStr">
        <is>
          <t>NORSJÖ</t>
        </is>
      </c>
      <c r="G124" t="n">
        <v>12</v>
      </c>
      <c r="H124" t="n">
        <v>0</v>
      </c>
      <c r="I124" t="n">
        <v>0</v>
      </c>
      <c r="J124" t="n">
        <v>0</v>
      </c>
      <c r="K124" t="n">
        <v>0</v>
      </c>
      <c r="L124" t="n">
        <v>0</v>
      </c>
      <c r="M124" t="n">
        <v>0</v>
      </c>
      <c r="N124" t="n">
        <v>0</v>
      </c>
      <c r="O124" t="n">
        <v>0</v>
      </c>
      <c r="P124" t="n">
        <v>0</v>
      </c>
      <c r="Q124" t="n">
        <v>0</v>
      </c>
      <c r="R124" s="2" t="inlineStr"/>
    </row>
    <row r="125" ht="15" customHeight="1">
      <c r="A125" t="inlineStr">
        <is>
          <t>A 24891-2025</t>
        </is>
      </c>
      <c r="B125" s="1" t="n">
        <v>45799.51130787037</v>
      </c>
      <c r="C125" s="1" t="n">
        <v>46158</v>
      </c>
      <c r="D125" t="inlineStr">
        <is>
          <t>VÄSTERBOTTENS LÄN</t>
        </is>
      </c>
      <c r="E125" t="inlineStr">
        <is>
          <t>NORSJÖ</t>
        </is>
      </c>
      <c r="G125" t="n">
        <v>3.8</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46158</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46158</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46158</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46158</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30967-2024</t>
        </is>
      </c>
      <c r="B130" s="1" t="n">
        <v>45499.45645833333</v>
      </c>
      <c r="C130" s="1" t="n">
        <v>46158</v>
      </c>
      <c r="D130" t="inlineStr">
        <is>
          <t>VÄSTERBOTTENS LÄN</t>
        </is>
      </c>
      <c r="E130" t="inlineStr">
        <is>
          <t>NORSJÖ</t>
        </is>
      </c>
      <c r="F130" t="inlineStr">
        <is>
          <t>Holmen skog AB</t>
        </is>
      </c>
      <c r="G130" t="n">
        <v>11.9</v>
      </c>
      <c r="H130" t="n">
        <v>0</v>
      </c>
      <c r="I130" t="n">
        <v>0</v>
      </c>
      <c r="J130" t="n">
        <v>0</v>
      </c>
      <c r="K130" t="n">
        <v>0</v>
      </c>
      <c r="L130" t="n">
        <v>0</v>
      </c>
      <c r="M130" t="n">
        <v>0</v>
      </c>
      <c r="N130" t="n">
        <v>0</v>
      </c>
      <c r="O130" t="n">
        <v>0</v>
      </c>
      <c r="P130" t="n">
        <v>0</v>
      </c>
      <c r="Q130" t="n">
        <v>0</v>
      </c>
      <c r="R130" s="2" t="inlineStr"/>
    </row>
    <row r="131" ht="15" customHeight="1">
      <c r="A131" t="inlineStr">
        <is>
          <t>A 49033-2024</t>
        </is>
      </c>
      <c r="B131" s="1" t="n">
        <v>45594</v>
      </c>
      <c r="C131" s="1" t="n">
        <v>46158</v>
      </c>
      <c r="D131" t="inlineStr">
        <is>
          <t>VÄSTERBOTTENS LÄN</t>
        </is>
      </c>
      <c r="E131" t="inlineStr">
        <is>
          <t>NORSJÖ</t>
        </is>
      </c>
      <c r="G131" t="n">
        <v>6.5</v>
      </c>
      <c r="H131" t="n">
        <v>0</v>
      </c>
      <c r="I131" t="n">
        <v>0</v>
      </c>
      <c r="J131" t="n">
        <v>0</v>
      </c>
      <c r="K131" t="n">
        <v>0</v>
      </c>
      <c r="L131" t="n">
        <v>0</v>
      </c>
      <c r="M131" t="n">
        <v>0</v>
      </c>
      <c r="N131" t="n">
        <v>0</v>
      </c>
      <c r="O131" t="n">
        <v>0</v>
      </c>
      <c r="P131" t="n">
        <v>0</v>
      </c>
      <c r="Q131" t="n">
        <v>0</v>
      </c>
      <c r="R131" s="2" t="inlineStr"/>
    </row>
    <row r="132" ht="15" customHeight="1">
      <c r="A132" t="inlineStr">
        <is>
          <t>A 39722-2025</t>
        </is>
      </c>
      <c r="B132" s="1" t="n">
        <v>45891.33292824074</v>
      </c>
      <c r="C132" s="1" t="n">
        <v>46158</v>
      </c>
      <c r="D132" t="inlineStr">
        <is>
          <t>VÄSTERBOTTENS LÄN</t>
        </is>
      </c>
      <c r="E132" t="inlineStr">
        <is>
          <t>NORSJÖ</t>
        </is>
      </c>
      <c r="F132" t="inlineStr">
        <is>
          <t>Holmen skog AB</t>
        </is>
      </c>
      <c r="G132" t="n">
        <v>15.9</v>
      </c>
      <c r="H132" t="n">
        <v>0</v>
      </c>
      <c r="I132" t="n">
        <v>0</v>
      </c>
      <c r="J132" t="n">
        <v>0</v>
      </c>
      <c r="K132" t="n">
        <v>0</v>
      </c>
      <c r="L132" t="n">
        <v>0</v>
      </c>
      <c r="M132" t="n">
        <v>0</v>
      </c>
      <c r="N132" t="n">
        <v>0</v>
      </c>
      <c r="O132" t="n">
        <v>0</v>
      </c>
      <c r="P132" t="n">
        <v>0</v>
      </c>
      <c r="Q132" t="n">
        <v>0</v>
      </c>
      <c r="R132" s="2" t="inlineStr"/>
    </row>
    <row r="133" ht="15" customHeight="1">
      <c r="A133" t="inlineStr">
        <is>
          <t>A 40108-2025</t>
        </is>
      </c>
      <c r="B133" s="1" t="n">
        <v>45894.49003472222</v>
      </c>
      <c r="C133" s="1" t="n">
        <v>46158</v>
      </c>
      <c r="D133" t="inlineStr">
        <is>
          <t>VÄSTERBOTTENS LÄN</t>
        </is>
      </c>
      <c r="E133" t="inlineStr">
        <is>
          <t>NORSJÖ</t>
        </is>
      </c>
      <c r="G133" t="n">
        <v>3.9</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46158</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25657-2025</t>
        </is>
      </c>
      <c r="B135" s="1" t="n">
        <v>45803.61543981481</v>
      </c>
      <c r="C135" s="1" t="n">
        <v>46158</v>
      </c>
      <c r="D135" t="inlineStr">
        <is>
          <t>VÄSTERBOTTENS LÄN</t>
        </is>
      </c>
      <c r="E135" t="inlineStr">
        <is>
          <t>NORSJÖ</t>
        </is>
      </c>
      <c r="G135" t="n">
        <v>1.4</v>
      </c>
      <c r="H135" t="n">
        <v>0</v>
      </c>
      <c r="I135" t="n">
        <v>0</v>
      </c>
      <c r="J135" t="n">
        <v>0</v>
      </c>
      <c r="K135" t="n">
        <v>0</v>
      </c>
      <c r="L135" t="n">
        <v>0</v>
      </c>
      <c r="M135" t="n">
        <v>0</v>
      </c>
      <c r="N135" t="n">
        <v>0</v>
      </c>
      <c r="O135" t="n">
        <v>0</v>
      </c>
      <c r="P135" t="n">
        <v>0</v>
      </c>
      <c r="Q135" t="n">
        <v>0</v>
      </c>
      <c r="R135" s="2" t="inlineStr"/>
    </row>
    <row r="136" ht="15" customHeight="1">
      <c r="A136" t="inlineStr">
        <is>
          <t>A 40656-2025</t>
        </is>
      </c>
      <c r="B136" s="1" t="n">
        <v>45896.63652777778</v>
      </c>
      <c r="C136" s="1" t="n">
        <v>46158</v>
      </c>
      <c r="D136" t="inlineStr">
        <is>
          <t>VÄSTERBOTTENS LÄN</t>
        </is>
      </c>
      <c r="E136" t="inlineStr">
        <is>
          <t>NORSJÖ</t>
        </is>
      </c>
      <c r="G136" t="n">
        <v>1.8</v>
      </c>
      <c r="H136" t="n">
        <v>0</v>
      </c>
      <c r="I136" t="n">
        <v>0</v>
      </c>
      <c r="J136" t="n">
        <v>0</v>
      </c>
      <c r="K136" t="n">
        <v>0</v>
      </c>
      <c r="L136" t="n">
        <v>0</v>
      </c>
      <c r="M136" t="n">
        <v>0</v>
      </c>
      <c r="N136" t="n">
        <v>0</v>
      </c>
      <c r="O136" t="n">
        <v>0</v>
      </c>
      <c r="P136" t="n">
        <v>0</v>
      </c>
      <c r="Q136" t="n">
        <v>0</v>
      </c>
      <c r="R136" s="2" t="inlineStr"/>
    </row>
    <row r="137" ht="15" customHeight="1">
      <c r="A137" t="inlineStr">
        <is>
          <t>A 40666-2025</t>
        </is>
      </c>
      <c r="B137" s="1" t="n">
        <v>45896.65674768519</v>
      </c>
      <c r="C137" s="1" t="n">
        <v>46158</v>
      </c>
      <c r="D137" t="inlineStr">
        <is>
          <t>VÄSTERBOTTENS LÄN</t>
        </is>
      </c>
      <c r="E137" t="inlineStr">
        <is>
          <t>NORSJÖ</t>
        </is>
      </c>
      <c r="G137" t="n">
        <v>1.2</v>
      </c>
      <c r="H137" t="n">
        <v>0</v>
      </c>
      <c r="I137" t="n">
        <v>0</v>
      </c>
      <c r="J137" t="n">
        <v>0</v>
      </c>
      <c r="K137" t="n">
        <v>0</v>
      </c>
      <c r="L137" t="n">
        <v>0</v>
      </c>
      <c r="M137" t="n">
        <v>0</v>
      </c>
      <c r="N137" t="n">
        <v>0</v>
      </c>
      <c r="O137" t="n">
        <v>0</v>
      </c>
      <c r="P137" t="n">
        <v>0</v>
      </c>
      <c r="Q137" t="n">
        <v>0</v>
      </c>
      <c r="R137" s="2" t="inlineStr"/>
    </row>
    <row r="138" ht="15" customHeight="1">
      <c r="A138" t="inlineStr">
        <is>
          <t>A 40324-2025</t>
        </is>
      </c>
      <c r="B138" s="1" t="n">
        <v>45895.44799768519</v>
      </c>
      <c r="C138" s="1" t="n">
        <v>46158</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40436-2025</t>
        </is>
      </c>
      <c r="B139" s="1" t="n">
        <v>45895.61975694444</v>
      </c>
      <c r="C139" s="1" t="n">
        <v>46158</v>
      </c>
      <c r="D139" t="inlineStr">
        <is>
          <t>VÄSTERBOTTENS LÄN</t>
        </is>
      </c>
      <c r="E139" t="inlineStr">
        <is>
          <t>NORSJÖ</t>
        </is>
      </c>
      <c r="G139" t="n">
        <v>10.5</v>
      </c>
      <c r="H139" t="n">
        <v>0</v>
      </c>
      <c r="I139" t="n">
        <v>0</v>
      </c>
      <c r="J139" t="n">
        <v>0</v>
      </c>
      <c r="K139" t="n">
        <v>0</v>
      </c>
      <c r="L139" t="n">
        <v>0</v>
      </c>
      <c r="M139" t="n">
        <v>0</v>
      </c>
      <c r="N139" t="n">
        <v>0</v>
      </c>
      <c r="O139" t="n">
        <v>0</v>
      </c>
      <c r="P139" t="n">
        <v>0</v>
      </c>
      <c r="Q139" t="n">
        <v>0</v>
      </c>
      <c r="R139" s="2" t="inlineStr"/>
    </row>
    <row r="140" ht="15" customHeight="1">
      <c r="A140" t="inlineStr">
        <is>
          <t>A 39288-2024</t>
        </is>
      </c>
      <c r="B140" s="1" t="n">
        <v>45551.36658564815</v>
      </c>
      <c r="C140" s="1" t="n">
        <v>46158</v>
      </c>
      <c r="D140" t="inlineStr">
        <is>
          <t>VÄSTERBOTTENS LÄN</t>
        </is>
      </c>
      <c r="E140" t="inlineStr">
        <is>
          <t>NORSJÖ</t>
        </is>
      </c>
      <c r="G140" t="n">
        <v>0.5</v>
      </c>
      <c r="H140" t="n">
        <v>0</v>
      </c>
      <c r="I140" t="n">
        <v>0</v>
      </c>
      <c r="J140" t="n">
        <v>0</v>
      </c>
      <c r="K140" t="n">
        <v>0</v>
      </c>
      <c r="L140" t="n">
        <v>0</v>
      </c>
      <c r="M140" t="n">
        <v>0</v>
      </c>
      <c r="N140" t="n">
        <v>0</v>
      </c>
      <c r="O140" t="n">
        <v>0</v>
      </c>
      <c r="P140" t="n">
        <v>0</v>
      </c>
      <c r="Q140" t="n">
        <v>0</v>
      </c>
      <c r="R140" s="2" t="inlineStr"/>
    </row>
    <row r="141" ht="15" customHeight="1">
      <c r="A141" t="inlineStr">
        <is>
          <t>A 39335-2024</t>
        </is>
      </c>
      <c r="B141" s="1" t="n">
        <v>45551.43978009259</v>
      </c>
      <c r="C141" s="1" t="n">
        <v>46158</v>
      </c>
      <c r="D141" t="inlineStr">
        <is>
          <t>VÄSTERBOTTENS LÄN</t>
        </is>
      </c>
      <c r="E141" t="inlineStr">
        <is>
          <t>NORSJÖ</t>
        </is>
      </c>
      <c r="F141" t="inlineStr">
        <is>
          <t>Holmen skog AB</t>
        </is>
      </c>
      <c r="G141" t="n">
        <v>5.7</v>
      </c>
      <c r="H141" t="n">
        <v>0</v>
      </c>
      <c r="I141" t="n">
        <v>0</v>
      </c>
      <c r="J141" t="n">
        <v>0</v>
      </c>
      <c r="K141" t="n">
        <v>0</v>
      </c>
      <c r="L141" t="n">
        <v>0</v>
      </c>
      <c r="M141" t="n">
        <v>0</v>
      </c>
      <c r="N141" t="n">
        <v>0</v>
      </c>
      <c r="O141" t="n">
        <v>0</v>
      </c>
      <c r="P141" t="n">
        <v>0</v>
      </c>
      <c r="Q141" t="n">
        <v>0</v>
      </c>
      <c r="R141" s="2" t="inlineStr"/>
    </row>
    <row r="142" ht="15" customHeight="1">
      <c r="A142" t="inlineStr">
        <is>
          <t>A 39343-2024</t>
        </is>
      </c>
      <c r="B142" s="1" t="n">
        <v>45551.44489583333</v>
      </c>
      <c r="C142" s="1" t="n">
        <v>46158</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39353-2024</t>
        </is>
      </c>
      <c r="B143" s="1" t="n">
        <v>45551.45835648148</v>
      </c>
      <c r="C143" s="1" t="n">
        <v>46158</v>
      </c>
      <c r="D143" t="inlineStr">
        <is>
          <t>VÄSTERBOTTENS LÄN</t>
        </is>
      </c>
      <c r="E143" t="inlineStr">
        <is>
          <t>NORSJÖ</t>
        </is>
      </c>
      <c r="F143" t="inlineStr">
        <is>
          <t>Holmen skog AB</t>
        </is>
      </c>
      <c r="G143" t="n">
        <v>4.4</v>
      </c>
      <c r="H143" t="n">
        <v>0</v>
      </c>
      <c r="I143" t="n">
        <v>0</v>
      </c>
      <c r="J143" t="n">
        <v>0</v>
      </c>
      <c r="K143" t="n">
        <v>0</v>
      </c>
      <c r="L143" t="n">
        <v>0</v>
      </c>
      <c r="M143" t="n">
        <v>0</v>
      </c>
      <c r="N143" t="n">
        <v>0</v>
      </c>
      <c r="O143" t="n">
        <v>0</v>
      </c>
      <c r="P143" t="n">
        <v>0</v>
      </c>
      <c r="Q143" t="n">
        <v>0</v>
      </c>
      <c r="R143" s="2" t="inlineStr"/>
    </row>
    <row r="144" ht="15" customHeight="1">
      <c r="A144" t="inlineStr">
        <is>
          <t>A 57195-2021</t>
        </is>
      </c>
      <c r="B144" s="1" t="n">
        <v>44482.9227662037</v>
      </c>
      <c r="C144" s="1" t="n">
        <v>46158</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40262-2025</t>
        </is>
      </c>
      <c r="B145" s="1" t="n">
        <v>45895.33680555555</v>
      </c>
      <c r="C145" s="1" t="n">
        <v>46158</v>
      </c>
      <c r="D145" t="inlineStr">
        <is>
          <t>VÄSTERBOTTENS LÄN</t>
        </is>
      </c>
      <c r="E145" t="inlineStr">
        <is>
          <t>NORSJÖ</t>
        </is>
      </c>
      <c r="F145" t="inlineStr">
        <is>
          <t>Holmen skog AB</t>
        </is>
      </c>
      <c r="G145" t="n">
        <v>5.6</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46158</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36585-2024</t>
        </is>
      </c>
      <c r="B147" s="1" t="n">
        <v>45537.52844907407</v>
      </c>
      <c r="C147" s="1" t="n">
        <v>46158</v>
      </c>
      <c r="D147" t="inlineStr">
        <is>
          <t>VÄSTERBOTTENS LÄN</t>
        </is>
      </c>
      <c r="E147" t="inlineStr">
        <is>
          <t>NORSJÖ</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41218-2025</t>
        </is>
      </c>
      <c r="B148" s="1" t="n">
        <v>45898.58579861111</v>
      </c>
      <c r="C148" s="1" t="n">
        <v>46158</v>
      </c>
      <c r="D148" t="inlineStr">
        <is>
          <t>VÄSTERBOTTENS LÄN</t>
        </is>
      </c>
      <c r="E148" t="inlineStr">
        <is>
          <t>NORSJÖ</t>
        </is>
      </c>
      <c r="F148" t="inlineStr">
        <is>
          <t>Sveaskog</t>
        </is>
      </c>
      <c r="G148" t="n">
        <v>8.6</v>
      </c>
      <c r="H148" t="n">
        <v>0</v>
      </c>
      <c r="I148" t="n">
        <v>0</v>
      </c>
      <c r="J148" t="n">
        <v>0</v>
      </c>
      <c r="K148" t="n">
        <v>0</v>
      </c>
      <c r="L148" t="n">
        <v>0</v>
      </c>
      <c r="M148" t="n">
        <v>0</v>
      </c>
      <c r="N148" t="n">
        <v>0</v>
      </c>
      <c r="O148" t="n">
        <v>0</v>
      </c>
      <c r="P148" t="n">
        <v>0</v>
      </c>
      <c r="Q148" t="n">
        <v>0</v>
      </c>
      <c r="R148" s="2" t="inlineStr"/>
    </row>
    <row r="149" ht="15" customHeight="1">
      <c r="A149" t="inlineStr">
        <is>
          <t>A 52998-2024</t>
        </is>
      </c>
      <c r="B149" s="1" t="n">
        <v>45611.38663194444</v>
      </c>
      <c r="C149" s="1" t="n">
        <v>46158</v>
      </c>
      <c r="D149" t="inlineStr">
        <is>
          <t>VÄSTERBOTTENS LÄN</t>
        </is>
      </c>
      <c r="E149" t="inlineStr">
        <is>
          <t>NORSJÖ</t>
        </is>
      </c>
      <c r="G149" t="n">
        <v>2.8</v>
      </c>
      <c r="H149" t="n">
        <v>0</v>
      </c>
      <c r="I149" t="n">
        <v>0</v>
      </c>
      <c r="J149" t="n">
        <v>0</v>
      </c>
      <c r="K149" t="n">
        <v>0</v>
      </c>
      <c r="L149" t="n">
        <v>0</v>
      </c>
      <c r="M149" t="n">
        <v>0</v>
      </c>
      <c r="N149" t="n">
        <v>0</v>
      </c>
      <c r="O149" t="n">
        <v>0</v>
      </c>
      <c r="P149" t="n">
        <v>0</v>
      </c>
      <c r="Q149" t="n">
        <v>0</v>
      </c>
      <c r="R149" s="2" t="inlineStr"/>
    </row>
    <row r="150" ht="15" customHeight="1">
      <c r="A150" t="inlineStr">
        <is>
          <t>A 27214-2025</t>
        </is>
      </c>
      <c r="B150" s="1" t="n">
        <v>45812.41510416667</v>
      </c>
      <c r="C150" s="1" t="n">
        <v>46158</v>
      </c>
      <c r="D150" t="inlineStr">
        <is>
          <t>VÄSTERBOTTENS LÄN</t>
        </is>
      </c>
      <c r="E150" t="inlineStr">
        <is>
          <t>NORSJÖ</t>
        </is>
      </c>
      <c r="F150" t="inlineStr">
        <is>
          <t>Holmen skog AB</t>
        </is>
      </c>
      <c r="G150" t="n">
        <v>8.4</v>
      </c>
      <c r="H150" t="n">
        <v>0</v>
      </c>
      <c r="I150" t="n">
        <v>0</v>
      </c>
      <c r="J150" t="n">
        <v>0</v>
      </c>
      <c r="K150" t="n">
        <v>0</v>
      </c>
      <c r="L150" t="n">
        <v>0</v>
      </c>
      <c r="M150" t="n">
        <v>0</v>
      </c>
      <c r="N150" t="n">
        <v>0</v>
      </c>
      <c r="O150" t="n">
        <v>0</v>
      </c>
      <c r="P150" t="n">
        <v>0</v>
      </c>
      <c r="Q150" t="n">
        <v>0</v>
      </c>
      <c r="R150" s="2" t="inlineStr"/>
    </row>
    <row r="151" ht="15" customHeight="1">
      <c r="A151" t="inlineStr">
        <is>
          <t>A 33460-2024</t>
        </is>
      </c>
      <c r="B151" s="1" t="n">
        <v>45519.58368055556</v>
      </c>
      <c r="C151" s="1" t="n">
        <v>46158</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46158</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46158</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46158</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41674-2025</t>
        </is>
      </c>
      <c r="B155" s="1" t="n">
        <v>45902.36511574074</v>
      </c>
      <c r="C155" s="1" t="n">
        <v>46158</v>
      </c>
      <c r="D155" t="inlineStr">
        <is>
          <t>VÄSTERBOTTENS LÄN</t>
        </is>
      </c>
      <c r="E155" t="inlineStr">
        <is>
          <t>NORSJÖ</t>
        </is>
      </c>
      <c r="G155" t="n">
        <v>2.1</v>
      </c>
      <c r="H155" t="n">
        <v>0</v>
      </c>
      <c r="I155" t="n">
        <v>0</v>
      </c>
      <c r="J155" t="n">
        <v>0</v>
      </c>
      <c r="K155" t="n">
        <v>0</v>
      </c>
      <c r="L155" t="n">
        <v>0</v>
      </c>
      <c r="M155" t="n">
        <v>0</v>
      </c>
      <c r="N155" t="n">
        <v>0</v>
      </c>
      <c r="O155" t="n">
        <v>0</v>
      </c>
      <c r="P155" t="n">
        <v>0</v>
      </c>
      <c r="Q155" t="n">
        <v>0</v>
      </c>
      <c r="R155" s="2" t="inlineStr"/>
    </row>
    <row r="156" ht="15" customHeight="1">
      <c r="A156" t="inlineStr">
        <is>
          <t>A 50368-2023</t>
        </is>
      </c>
      <c r="B156" s="1" t="n">
        <v>45209</v>
      </c>
      <c r="C156" s="1" t="n">
        <v>46158</v>
      </c>
      <c r="D156" t="inlineStr">
        <is>
          <t>VÄSTERBOTTENS LÄN</t>
        </is>
      </c>
      <c r="E156" t="inlineStr">
        <is>
          <t>NORSJÖ</t>
        </is>
      </c>
      <c r="G156" t="n">
        <v>4.1</v>
      </c>
      <c r="H156" t="n">
        <v>0</v>
      </c>
      <c r="I156" t="n">
        <v>0</v>
      </c>
      <c r="J156" t="n">
        <v>0</v>
      </c>
      <c r="K156" t="n">
        <v>0</v>
      </c>
      <c r="L156" t="n">
        <v>0</v>
      </c>
      <c r="M156" t="n">
        <v>0</v>
      </c>
      <c r="N156" t="n">
        <v>0</v>
      </c>
      <c r="O156" t="n">
        <v>0</v>
      </c>
      <c r="P156" t="n">
        <v>0</v>
      </c>
      <c r="Q156" t="n">
        <v>0</v>
      </c>
      <c r="R156" s="2" t="inlineStr"/>
    </row>
    <row r="157" ht="15" customHeight="1">
      <c r="A157" t="inlineStr">
        <is>
          <t>A 25161-2024</t>
        </is>
      </c>
      <c r="B157" s="1" t="n">
        <v>45462.53011574074</v>
      </c>
      <c r="C157" s="1" t="n">
        <v>46158</v>
      </c>
      <c r="D157" t="inlineStr">
        <is>
          <t>VÄSTERBOTTENS LÄN</t>
        </is>
      </c>
      <c r="E157" t="inlineStr">
        <is>
          <t>NORSJÖ</t>
        </is>
      </c>
      <c r="G157" t="n">
        <v>5.4</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46158</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41438-2025</t>
        </is>
      </c>
      <c r="B159" s="1" t="n">
        <v>45901.40425925926</v>
      </c>
      <c r="C159" s="1" t="n">
        <v>46158</v>
      </c>
      <c r="D159" t="inlineStr">
        <is>
          <t>VÄSTERBOTTENS LÄN</t>
        </is>
      </c>
      <c r="E159" t="inlineStr">
        <is>
          <t>NORSJÖ</t>
        </is>
      </c>
      <c r="F159" t="inlineStr">
        <is>
          <t>Holmen skog AB</t>
        </is>
      </c>
      <c r="G159" t="n">
        <v>3.5</v>
      </c>
      <c r="H159" t="n">
        <v>0</v>
      </c>
      <c r="I159" t="n">
        <v>0</v>
      </c>
      <c r="J159" t="n">
        <v>0</v>
      </c>
      <c r="K159" t="n">
        <v>0</v>
      </c>
      <c r="L159" t="n">
        <v>0</v>
      </c>
      <c r="M159" t="n">
        <v>0</v>
      </c>
      <c r="N159" t="n">
        <v>0</v>
      </c>
      <c r="O159" t="n">
        <v>0</v>
      </c>
      <c r="P159" t="n">
        <v>0</v>
      </c>
      <c r="Q159" t="n">
        <v>0</v>
      </c>
      <c r="R159" s="2" t="inlineStr"/>
    </row>
    <row r="160" ht="15" customHeight="1">
      <c r="A160" t="inlineStr">
        <is>
          <t>A 572-2026</t>
        </is>
      </c>
      <c r="B160" s="1" t="n">
        <v>46029.47375</v>
      </c>
      <c r="C160" s="1" t="n">
        <v>46158</v>
      </c>
      <c r="D160" t="inlineStr">
        <is>
          <t>VÄSTERBOTTENS LÄN</t>
        </is>
      </c>
      <c r="E160" t="inlineStr">
        <is>
          <t>NORSJÖ</t>
        </is>
      </c>
      <c r="G160" t="n">
        <v>3</v>
      </c>
      <c r="H160" t="n">
        <v>0</v>
      </c>
      <c r="I160" t="n">
        <v>0</v>
      </c>
      <c r="J160" t="n">
        <v>0</v>
      </c>
      <c r="K160" t="n">
        <v>0</v>
      </c>
      <c r="L160" t="n">
        <v>0</v>
      </c>
      <c r="M160" t="n">
        <v>0</v>
      </c>
      <c r="N160" t="n">
        <v>0</v>
      </c>
      <c r="O160" t="n">
        <v>0</v>
      </c>
      <c r="P160" t="n">
        <v>0</v>
      </c>
      <c r="Q160" t="n">
        <v>0</v>
      </c>
      <c r="R160" s="2" t="inlineStr"/>
    </row>
    <row r="161" ht="15" customHeight="1">
      <c r="A161" t="inlineStr">
        <is>
          <t>A 21600-2024</t>
        </is>
      </c>
      <c r="B161" s="1" t="n">
        <v>45441</v>
      </c>
      <c r="C161" s="1" t="n">
        <v>46158</v>
      </c>
      <c r="D161" t="inlineStr">
        <is>
          <t>VÄSTERBOTTENS LÄN</t>
        </is>
      </c>
      <c r="E161" t="inlineStr">
        <is>
          <t>NORSJÖ</t>
        </is>
      </c>
      <c r="G161" t="n">
        <v>2</v>
      </c>
      <c r="H161" t="n">
        <v>0</v>
      </c>
      <c r="I161" t="n">
        <v>0</v>
      </c>
      <c r="J161" t="n">
        <v>0</v>
      </c>
      <c r="K161" t="n">
        <v>0</v>
      </c>
      <c r="L161" t="n">
        <v>0</v>
      </c>
      <c r="M161" t="n">
        <v>0</v>
      </c>
      <c r="N161" t="n">
        <v>0</v>
      </c>
      <c r="O161" t="n">
        <v>0</v>
      </c>
      <c r="P161" t="n">
        <v>0</v>
      </c>
      <c r="Q161" t="n">
        <v>0</v>
      </c>
      <c r="R161" s="2" t="inlineStr"/>
    </row>
    <row r="162" ht="15" customHeight="1">
      <c r="A162" t="inlineStr">
        <is>
          <t>A 33995-2024</t>
        </is>
      </c>
      <c r="B162" s="1" t="n">
        <v>45523</v>
      </c>
      <c r="C162" s="1" t="n">
        <v>46158</v>
      </c>
      <c r="D162" t="inlineStr">
        <is>
          <t>VÄSTERBOTTENS LÄN</t>
        </is>
      </c>
      <c r="E162" t="inlineStr">
        <is>
          <t>NORSJÖ</t>
        </is>
      </c>
      <c r="G162" t="n">
        <v>1.6</v>
      </c>
      <c r="H162" t="n">
        <v>0</v>
      </c>
      <c r="I162" t="n">
        <v>0</v>
      </c>
      <c r="J162" t="n">
        <v>0</v>
      </c>
      <c r="K162" t="n">
        <v>0</v>
      </c>
      <c r="L162" t="n">
        <v>0</v>
      </c>
      <c r="M162" t="n">
        <v>0</v>
      </c>
      <c r="N162" t="n">
        <v>0</v>
      </c>
      <c r="O162" t="n">
        <v>0</v>
      </c>
      <c r="P162" t="n">
        <v>0</v>
      </c>
      <c r="Q162" t="n">
        <v>0</v>
      </c>
      <c r="R162" s="2" t="inlineStr"/>
    </row>
    <row r="163" ht="15" customHeight="1">
      <c r="A163" t="inlineStr">
        <is>
          <t>A 18850-2024</t>
        </is>
      </c>
      <c r="B163" s="1" t="n">
        <v>45426</v>
      </c>
      <c r="C163" s="1" t="n">
        <v>46158</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42181-2023</t>
        </is>
      </c>
      <c r="B164" s="1" t="n">
        <v>45178.92329861111</v>
      </c>
      <c r="C164" s="1" t="n">
        <v>46158</v>
      </c>
      <c r="D164" t="inlineStr">
        <is>
          <t>VÄSTERBOTTENS LÄN</t>
        </is>
      </c>
      <c r="E164" t="inlineStr">
        <is>
          <t>NORSJÖ</t>
        </is>
      </c>
      <c r="G164" t="n">
        <v>0.6</v>
      </c>
      <c r="H164" t="n">
        <v>0</v>
      </c>
      <c r="I164" t="n">
        <v>0</v>
      </c>
      <c r="J164" t="n">
        <v>0</v>
      </c>
      <c r="K164" t="n">
        <v>0</v>
      </c>
      <c r="L164" t="n">
        <v>0</v>
      </c>
      <c r="M164" t="n">
        <v>0</v>
      </c>
      <c r="N164" t="n">
        <v>0</v>
      </c>
      <c r="O164" t="n">
        <v>0</v>
      </c>
      <c r="P164" t="n">
        <v>0</v>
      </c>
      <c r="Q164" t="n">
        <v>0</v>
      </c>
      <c r="R164" s="2" t="inlineStr"/>
    </row>
    <row r="165" ht="15" customHeight="1">
      <c r="A165" t="inlineStr">
        <is>
          <t>A 14226-2023</t>
        </is>
      </c>
      <c r="B165" s="1" t="n">
        <v>45009</v>
      </c>
      <c r="C165" s="1" t="n">
        <v>46158</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41924-2025</t>
        </is>
      </c>
      <c r="B166" s="1" t="n">
        <v>45903.42737268518</v>
      </c>
      <c r="C166" s="1" t="n">
        <v>46158</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671-2026</t>
        </is>
      </c>
      <c r="B167" s="1" t="n">
        <v>46029.59167824074</v>
      </c>
      <c r="C167" s="1" t="n">
        <v>46158</v>
      </c>
      <c r="D167" t="inlineStr">
        <is>
          <t>VÄSTERBOTTENS LÄN</t>
        </is>
      </c>
      <c r="E167" t="inlineStr">
        <is>
          <t>NORSJÖ</t>
        </is>
      </c>
      <c r="G167" t="n">
        <v>2.4</v>
      </c>
      <c r="H167" t="n">
        <v>0</v>
      </c>
      <c r="I167" t="n">
        <v>0</v>
      </c>
      <c r="J167" t="n">
        <v>0</v>
      </c>
      <c r="K167" t="n">
        <v>0</v>
      </c>
      <c r="L167" t="n">
        <v>0</v>
      </c>
      <c r="M167" t="n">
        <v>0</v>
      </c>
      <c r="N167" t="n">
        <v>0</v>
      </c>
      <c r="O167" t="n">
        <v>0</v>
      </c>
      <c r="P167" t="n">
        <v>0</v>
      </c>
      <c r="Q167" t="n">
        <v>0</v>
      </c>
      <c r="R167" s="2" t="inlineStr"/>
    </row>
    <row r="168" ht="15" customHeight="1">
      <c r="A168" t="inlineStr">
        <is>
          <t>A 41123-2025</t>
        </is>
      </c>
      <c r="B168" s="1" t="n">
        <v>45898</v>
      </c>
      <c r="C168" s="1" t="n">
        <v>46158</v>
      </c>
      <c r="D168" t="inlineStr">
        <is>
          <t>VÄSTERBOTTENS LÄN</t>
        </is>
      </c>
      <c r="E168" t="inlineStr">
        <is>
          <t>NORSJÖ</t>
        </is>
      </c>
      <c r="G168" t="n">
        <v>24.2</v>
      </c>
      <c r="H168" t="n">
        <v>0</v>
      </c>
      <c r="I168" t="n">
        <v>0</v>
      </c>
      <c r="J168" t="n">
        <v>0</v>
      </c>
      <c r="K168" t="n">
        <v>0</v>
      </c>
      <c r="L168" t="n">
        <v>0</v>
      </c>
      <c r="M168" t="n">
        <v>0</v>
      </c>
      <c r="N168" t="n">
        <v>0</v>
      </c>
      <c r="O168" t="n">
        <v>0</v>
      </c>
      <c r="P168" t="n">
        <v>0</v>
      </c>
      <c r="Q168" t="n">
        <v>0</v>
      </c>
      <c r="R168" s="2" t="inlineStr"/>
    </row>
    <row r="169" ht="15" customHeight="1">
      <c r="A169" t="inlineStr">
        <is>
          <t>A 466-2026</t>
        </is>
      </c>
      <c r="B169" s="1" t="n">
        <v>46029.38585648148</v>
      </c>
      <c r="C169" s="1" t="n">
        <v>46158</v>
      </c>
      <c r="D169" t="inlineStr">
        <is>
          <t>VÄSTERBOTTENS LÄN</t>
        </is>
      </c>
      <c r="E169" t="inlineStr">
        <is>
          <t>NORSJÖ</t>
        </is>
      </c>
      <c r="G169" t="n">
        <v>4.3</v>
      </c>
      <c r="H169" t="n">
        <v>0</v>
      </c>
      <c r="I169" t="n">
        <v>0</v>
      </c>
      <c r="J169" t="n">
        <v>0</v>
      </c>
      <c r="K169" t="n">
        <v>0</v>
      </c>
      <c r="L169" t="n">
        <v>0</v>
      </c>
      <c r="M169" t="n">
        <v>0</v>
      </c>
      <c r="N169" t="n">
        <v>0</v>
      </c>
      <c r="O169" t="n">
        <v>0</v>
      </c>
      <c r="P169" t="n">
        <v>0</v>
      </c>
      <c r="Q169" t="n">
        <v>0</v>
      </c>
      <c r="R169" s="2" t="inlineStr"/>
    </row>
    <row r="170" ht="15" customHeight="1">
      <c r="A170" t="inlineStr">
        <is>
          <t>A 553-2026</t>
        </is>
      </c>
      <c r="B170" s="1" t="n">
        <v>46029.46365740741</v>
      </c>
      <c r="C170" s="1" t="n">
        <v>46158</v>
      </c>
      <c r="D170" t="inlineStr">
        <is>
          <t>VÄSTERBOTTENS LÄN</t>
        </is>
      </c>
      <c r="E170" t="inlineStr">
        <is>
          <t>NORSJÖ</t>
        </is>
      </c>
      <c r="G170" t="n">
        <v>2.6</v>
      </c>
      <c r="H170" t="n">
        <v>0</v>
      </c>
      <c r="I170" t="n">
        <v>0</v>
      </c>
      <c r="J170" t="n">
        <v>0</v>
      </c>
      <c r="K170" t="n">
        <v>0</v>
      </c>
      <c r="L170" t="n">
        <v>0</v>
      </c>
      <c r="M170" t="n">
        <v>0</v>
      </c>
      <c r="N170" t="n">
        <v>0</v>
      </c>
      <c r="O170" t="n">
        <v>0</v>
      </c>
      <c r="P170" t="n">
        <v>0</v>
      </c>
      <c r="Q170" t="n">
        <v>0</v>
      </c>
      <c r="R170" s="2" t="inlineStr"/>
    </row>
    <row r="171" ht="15" customHeight="1">
      <c r="A171" t="inlineStr">
        <is>
          <t>A 42535-2025</t>
        </is>
      </c>
      <c r="B171" s="1" t="n">
        <v>45905.56924768518</v>
      </c>
      <c r="C171" s="1" t="n">
        <v>46158</v>
      </c>
      <c r="D171" t="inlineStr">
        <is>
          <t>VÄSTERBOTTENS LÄN</t>
        </is>
      </c>
      <c r="E171" t="inlineStr">
        <is>
          <t>NORSJÖ</t>
        </is>
      </c>
      <c r="G171" t="n">
        <v>14.2</v>
      </c>
      <c r="H171" t="n">
        <v>0</v>
      </c>
      <c r="I171" t="n">
        <v>0</v>
      </c>
      <c r="J171" t="n">
        <v>0</v>
      </c>
      <c r="K171" t="n">
        <v>0</v>
      </c>
      <c r="L171" t="n">
        <v>0</v>
      </c>
      <c r="M171" t="n">
        <v>0</v>
      </c>
      <c r="N171" t="n">
        <v>0</v>
      </c>
      <c r="O171" t="n">
        <v>0</v>
      </c>
      <c r="P171" t="n">
        <v>0</v>
      </c>
      <c r="Q171" t="n">
        <v>0</v>
      </c>
      <c r="R171" s="2" t="inlineStr"/>
    </row>
    <row r="172" ht="15" customHeight="1">
      <c r="A172" t="inlineStr">
        <is>
          <t>A 1166-2026</t>
        </is>
      </c>
      <c r="B172" s="1" t="n">
        <v>46031.3431712963</v>
      </c>
      <c r="C172" s="1" t="n">
        <v>46158</v>
      </c>
      <c r="D172" t="inlineStr">
        <is>
          <t>VÄSTERBOTTENS LÄN</t>
        </is>
      </c>
      <c r="E172" t="inlineStr">
        <is>
          <t>NORSJÖ</t>
        </is>
      </c>
      <c r="F172" t="inlineStr">
        <is>
          <t>Holmen skog AB</t>
        </is>
      </c>
      <c r="G172" t="n">
        <v>4.6</v>
      </c>
      <c r="H172" t="n">
        <v>0</v>
      </c>
      <c r="I172" t="n">
        <v>0</v>
      </c>
      <c r="J172" t="n">
        <v>0</v>
      </c>
      <c r="K172" t="n">
        <v>0</v>
      </c>
      <c r="L172" t="n">
        <v>0</v>
      </c>
      <c r="M172" t="n">
        <v>0</v>
      </c>
      <c r="N172" t="n">
        <v>0</v>
      </c>
      <c r="O172" t="n">
        <v>0</v>
      </c>
      <c r="P172" t="n">
        <v>0</v>
      </c>
      <c r="Q172" t="n">
        <v>0</v>
      </c>
      <c r="R172" s="2" t="inlineStr"/>
    </row>
    <row r="173" ht="15" customHeight="1">
      <c r="A173" t="inlineStr">
        <is>
          <t>A 1392-2026</t>
        </is>
      </c>
      <c r="B173" s="1" t="n">
        <v>46031.63582175926</v>
      </c>
      <c r="C173" s="1" t="n">
        <v>46158</v>
      </c>
      <c r="D173" t="inlineStr">
        <is>
          <t>VÄSTERBOTTENS LÄN</t>
        </is>
      </c>
      <c r="E173" t="inlineStr">
        <is>
          <t>NORSJÖ</t>
        </is>
      </c>
      <c r="G173" t="n">
        <v>13</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46158</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46158</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28822-2025</t>
        </is>
      </c>
      <c r="B176" s="1" t="n">
        <v>45820</v>
      </c>
      <c r="C176" s="1" t="n">
        <v>46158</v>
      </c>
      <c r="D176" t="inlineStr">
        <is>
          <t>VÄSTERBOTTENS LÄN</t>
        </is>
      </c>
      <c r="E176" t="inlineStr">
        <is>
          <t>NORSJÖ</t>
        </is>
      </c>
      <c r="G176" t="n">
        <v>4.2</v>
      </c>
      <c r="H176" t="n">
        <v>0</v>
      </c>
      <c r="I176" t="n">
        <v>0</v>
      </c>
      <c r="J176" t="n">
        <v>0</v>
      </c>
      <c r="K176" t="n">
        <v>0</v>
      </c>
      <c r="L176" t="n">
        <v>0</v>
      </c>
      <c r="M176" t="n">
        <v>0</v>
      </c>
      <c r="N176" t="n">
        <v>0</v>
      </c>
      <c r="O176" t="n">
        <v>0</v>
      </c>
      <c r="P176" t="n">
        <v>0</v>
      </c>
      <c r="Q176" t="n">
        <v>0</v>
      </c>
      <c r="R176" s="2" t="inlineStr"/>
    </row>
    <row r="177" ht="15" customHeight="1">
      <c r="A177" t="inlineStr">
        <is>
          <t>A 28908-2025</t>
        </is>
      </c>
      <c r="B177" s="1" t="n">
        <v>45820.65319444444</v>
      </c>
      <c r="C177" s="1" t="n">
        <v>46158</v>
      </c>
      <c r="D177" t="inlineStr">
        <is>
          <t>VÄSTERBOTTENS LÄN</t>
        </is>
      </c>
      <c r="E177" t="inlineStr">
        <is>
          <t>NORSJÖ</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28823-2025</t>
        </is>
      </c>
      <c r="B178" s="1" t="n">
        <v>45820</v>
      </c>
      <c r="C178" s="1" t="n">
        <v>46158</v>
      </c>
      <c r="D178" t="inlineStr">
        <is>
          <t>VÄSTERBOTTENS LÄN</t>
        </is>
      </c>
      <c r="E178" t="inlineStr">
        <is>
          <t>NORSJÖ</t>
        </is>
      </c>
      <c r="G178" t="n">
        <v>14.1</v>
      </c>
      <c r="H178" t="n">
        <v>0</v>
      </c>
      <c r="I178" t="n">
        <v>0</v>
      </c>
      <c r="J178" t="n">
        <v>0</v>
      </c>
      <c r="K178" t="n">
        <v>0</v>
      </c>
      <c r="L178" t="n">
        <v>0</v>
      </c>
      <c r="M178" t="n">
        <v>0</v>
      </c>
      <c r="N178" t="n">
        <v>0</v>
      </c>
      <c r="O178" t="n">
        <v>0</v>
      </c>
      <c r="P178" t="n">
        <v>0</v>
      </c>
      <c r="Q178" t="n">
        <v>0</v>
      </c>
      <c r="R178" s="2" t="inlineStr"/>
    </row>
    <row r="179" ht="15" customHeight="1">
      <c r="A179" t="inlineStr">
        <is>
          <t>A 19744-2024</t>
        </is>
      </c>
      <c r="B179" s="1" t="n">
        <v>45432.65126157407</v>
      </c>
      <c r="C179" s="1" t="n">
        <v>46158</v>
      </c>
      <c r="D179" t="inlineStr">
        <is>
          <t>VÄSTERBOTTENS LÄN</t>
        </is>
      </c>
      <c r="E179" t="inlineStr">
        <is>
          <t>NORSJÖ</t>
        </is>
      </c>
      <c r="F179" t="inlineStr">
        <is>
          <t>Holmen skog AB</t>
        </is>
      </c>
      <c r="G179" t="n">
        <v>7.8</v>
      </c>
      <c r="H179" t="n">
        <v>0</v>
      </c>
      <c r="I179" t="n">
        <v>0</v>
      </c>
      <c r="J179" t="n">
        <v>0</v>
      </c>
      <c r="K179" t="n">
        <v>0</v>
      </c>
      <c r="L179" t="n">
        <v>0</v>
      </c>
      <c r="M179" t="n">
        <v>0</v>
      </c>
      <c r="N179" t="n">
        <v>0</v>
      </c>
      <c r="O179" t="n">
        <v>0</v>
      </c>
      <c r="P179" t="n">
        <v>0</v>
      </c>
      <c r="Q179" t="n">
        <v>0</v>
      </c>
      <c r="R179" s="2" t="inlineStr"/>
    </row>
    <row r="180" ht="15" customHeight="1">
      <c r="A180" t="inlineStr">
        <is>
          <t>A 42752-2025</t>
        </is>
      </c>
      <c r="B180" s="1" t="n">
        <v>45908.44136574074</v>
      </c>
      <c r="C180" s="1" t="n">
        <v>46158</v>
      </c>
      <c r="D180" t="inlineStr">
        <is>
          <t>VÄSTERBOTTENS LÄN</t>
        </is>
      </c>
      <c r="E180" t="inlineStr">
        <is>
          <t>NORSJÖ</t>
        </is>
      </c>
      <c r="F180" t="inlineStr">
        <is>
          <t>Holmen skog AB</t>
        </is>
      </c>
      <c r="G180" t="n">
        <v>5.9</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45821.38677083333</v>
      </c>
      <c r="C181" s="1" t="n">
        <v>46158</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46158</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38318-2024</t>
        </is>
      </c>
      <c r="B183" s="1" t="n">
        <v>45545.66155092593</v>
      </c>
      <c r="C183" s="1" t="n">
        <v>46158</v>
      </c>
      <c r="D183" t="inlineStr">
        <is>
          <t>VÄSTERBOTTENS LÄN</t>
        </is>
      </c>
      <c r="E183" t="inlineStr">
        <is>
          <t>NORSJÖ</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46158</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29379-2025</t>
        </is>
      </c>
      <c r="B185" s="1" t="n">
        <v>45824.58925925926</v>
      </c>
      <c r="C185" s="1" t="n">
        <v>46158</v>
      </c>
      <c r="D185" t="inlineStr">
        <is>
          <t>VÄSTERBOTTENS LÄN</t>
        </is>
      </c>
      <c r="E185" t="inlineStr">
        <is>
          <t>NORSJÖ</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1813-2026</t>
        </is>
      </c>
      <c r="B186" s="1" t="n">
        <v>46035.34439814815</v>
      </c>
      <c r="C186" s="1" t="n">
        <v>46158</v>
      </c>
      <c r="D186" t="inlineStr">
        <is>
          <t>VÄSTERBOTTENS LÄN</t>
        </is>
      </c>
      <c r="E186" t="inlineStr">
        <is>
          <t>NORSJÖ</t>
        </is>
      </c>
      <c r="G186" t="n">
        <v>0.7</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46158</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1814-2026</t>
        </is>
      </c>
      <c r="B188" s="1" t="n">
        <v>46035.34442129629</v>
      </c>
      <c r="C188" s="1" t="n">
        <v>46158</v>
      </c>
      <c r="D188" t="inlineStr">
        <is>
          <t>VÄSTERBOTTENS LÄN</t>
        </is>
      </c>
      <c r="E188" t="inlineStr">
        <is>
          <t>NORSJÖ</t>
        </is>
      </c>
      <c r="G188" t="n">
        <v>3.1</v>
      </c>
      <c r="H188" t="n">
        <v>0</v>
      </c>
      <c r="I188" t="n">
        <v>0</v>
      </c>
      <c r="J188" t="n">
        <v>0</v>
      </c>
      <c r="K188" t="n">
        <v>0</v>
      </c>
      <c r="L188" t="n">
        <v>0</v>
      </c>
      <c r="M188" t="n">
        <v>0</v>
      </c>
      <c r="N188" t="n">
        <v>0</v>
      </c>
      <c r="O188" t="n">
        <v>0</v>
      </c>
      <c r="P188" t="n">
        <v>0</v>
      </c>
      <c r="Q188" t="n">
        <v>0</v>
      </c>
      <c r="R188" s="2" t="inlineStr"/>
    </row>
    <row r="189" ht="15" customHeight="1">
      <c r="A189" t="inlineStr">
        <is>
          <t>A 29395-2025</t>
        </is>
      </c>
      <c r="B189" s="1" t="n">
        <v>45824.60665509259</v>
      </c>
      <c r="C189" s="1" t="n">
        <v>46158</v>
      </c>
      <c r="D189" t="inlineStr">
        <is>
          <t>VÄSTERBOTTENS LÄN</t>
        </is>
      </c>
      <c r="E189" t="inlineStr">
        <is>
          <t>NORSJÖ</t>
        </is>
      </c>
      <c r="F189" t="inlineStr">
        <is>
          <t>Holmen skog AB</t>
        </is>
      </c>
      <c r="G189" t="n">
        <v>4.8</v>
      </c>
      <c r="H189" t="n">
        <v>0</v>
      </c>
      <c r="I189" t="n">
        <v>0</v>
      </c>
      <c r="J189" t="n">
        <v>0</v>
      </c>
      <c r="K189" t="n">
        <v>0</v>
      </c>
      <c r="L189" t="n">
        <v>0</v>
      </c>
      <c r="M189" t="n">
        <v>0</v>
      </c>
      <c r="N189" t="n">
        <v>0</v>
      </c>
      <c r="O189" t="n">
        <v>0</v>
      </c>
      <c r="P189" t="n">
        <v>0</v>
      </c>
      <c r="Q189" t="n">
        <v>0</v>
      </c>
      <c r="R189" s="2" t="inlineStr"/>
    </row>
    <row r="190" ht="15" customHeight="1">
      <c r="A190" t="inlineStr">
        <is>
          <t>A 2357-2026</t>
        </is>
      </c>
      <c r="B190" s="1" t="n">
        <v>46036.63644675926</v>
      </c>
      <c r="C190" s="1" t="n">
        <v>46158</v>
      </c>
      <c r="D190" t="inlineStr">
        <is>
          <t>VÄSTERBOTTENS LÄN</t>
        </is>
      </c>
      <c r="E190" t="inlineStr">
        <is>
          <t>NORSJÖ</t>
        </is>
      </c>
      <c r="G190" t="n">
        <v>13.4</v>
      </c>
      <c r="H190" t="n">
        <v>0</v>
      </c>
      <c r="I190" t="n">
        <v>0</v>
      </c>
      <c r="J190" t="n">
        <v>0</v>
      </c>
      <c r="K190" t="n">
        <v>0</v>
      </c>
      <c r="L190" t="n">
        <v>0</v>
      </c>
      <c r="M190" t="n">
        <v>0</v>
      </c>
      <c r="N190" t="n">
        <v>0</v>
      </c>
      <c r="O190" t="n">
        <v>0</v>
      </c>
      <c r="P190" t="n">
        <v>0</v>
      </c>
      <c r="Q190" t="n">
        <v>0</v>
      </c>
      <c r="R190" s="2" t="inlineStr"/>
    </row>
    <row r="191" ht="15" customHeight="1">
      <c r="A191" t="inlineStr">
        <is>
          <t>A 1891-2026</t>
        </is>
      </c>
      <c r="B191" s="1" t="n">
        <v>46035.49623842593</v>
      </c>
      <c r="C191" s="1" t="n">
        <v>46158</v>
      </c>
      <c r="D191" t="inlineStr">
        <is>
          <t>VÄSTERBOTTENS LÄN</t>
        </is>
      </c>
      <c r="E191" t="inlineStr">
        <is>
          <t>NORSJÖ</t>
        </is>
      </c>
      <c r="G191" t="n">
        <v>7</v>
      </c>
      <c r="H191" t="n">
        <v>0</v>
      </c>
      <c r="I191" t="n">
        <v>0</v>
      </c>
      <c r="J191" t="n">
        <v>0</v>
      </c>
      <c r="K191" t="n">
        <v>0</v>
      </c>
      <c r="L191" t="n">
        <v>0</v>
      </c>
      <c r="M191" t="n">
        <v>0</v>
      </c>
      <c r="N191" t="n">
        <v>0</v>
      </c>
      <c r="O191" t="n">
        <v>0</v>
      </c>
      <c r="P191" t="n">
        <v>0</v>
      </c>
      <c r="Q191" t="n">
        <v>0</v>
      </c>
      <c r="R191" s="2" t="inlineStr"/>
    </row>
    <row r="192" ht="15" customHeight="1">
      <c r="A192" t="inlineStr">
        <is>
          <t>A 1894-2026</t>
        </is>
      </c>
      <c r="B192" s="1" t="n">
        <v>46035.50423611111</v>
      </c>
      <c r="C192" s="1" t="n">
        <v>46158</v>
      </c>
      <c r="D192" t="inlineStr">
        <is>
          <t>VÄSTERBOTTENS LÄN</t>
        </is>
      </c>
      <c r="E192" t="inlineStr">
        <is>
          <t>NORSJÖ</t>
        </is>
      </c>
      <c r="G192" t="n">
        <v>2.3</v>
      </c>
      <c r="H192" t="n">
        <v>0</v>
      </c>
      <c r="I192" t="n">
        <v>0</v>
      </c>
      <c r="J192" t="n">
        <v>0</v>
      </c>
      <c r="K192" t="n">
        <v>0</v>
      </c>
      <c r="L192" t="n">
        <v>0</v>
      </c>
      <c r="M192" t="n">
        <v>0</v>
      </c>
      <c r="N192" t="n">
        <v>0</v>
      </c>
      <c r="O192" t="n">
        <v>0</v>
      </c>
      <c r="P192" t="n">
        <v>0</v>
      </c>
      <c r="Q192" t="n">
        <v>0</v>
      </c>
      <c r="R192" s="2" t="inlineStr"/>
    </row>
    <row r="193" ht="15" customHeight="1">
      <c r="A193" t="inlineStr">
        <is>
          <t>A 1966-2026</t>
        </is>
      </c>
      <c r="B193" s="1" t="n">
        <v>46035.6363425926</v>
      </c>
      <c r="C193" s="1" t="n">
        <v>46158</v>
      </c>
      <c r="D193" t="inlineStr">
        <is>
          <t>VÄSTERBOTTENS LÄN</t>
        </is>
      </c>
      <c r="E193" t="inlineStr">
        <is>
          <t>NORSJÖ</t>
        </is>
      </c>
      <c r="G193" t="n">
        <v>4.6</v>
      </c>
      <c r="H193" t="n">
        <v>0</v>
      </c>
      <c r="I193" t="n">
        <v>0</v>
      </c>
      <c r="J193" t="n">
        <v>0</v>
      </c>
      <c r="K193" t="n">
        <v>0</v>
      </c>
      <c r="L193" t="n">
        <v>0</v>
      </c>
      <c r="M193" t="n">
        <v>0</v>
      </c>
      <c r="N193" t="n">
        <v>0</v>
      </c>
      <c r="O193" t="n">
        <v>0</v>
      </c>
      <c r="P193" t="n">
        <v>0</v>
      </c>
      <c r="Q193" t="n">
        <v>0</v>
      </c>
      <c r="R193" s="2" t="inlineStr"/>
    </row>
    <row r="194" ht="15" customHeight="1">
      <c r="A194" t="inlineStr">
        <is>
          <t>A 1987-2026</t>
        </is>
      </c>
      <c r="B194" s="1" t="n">
        <v>46035.65710648148</v>
      </c>
      <c r="C194" s="1" t="n">
        <v>46158</v>
      </c>
      <c r="D194" t="inlineStr">
        <is>
          <t>VÄSTERBOTTENS LÄN</t>
        </is>
      </c>
      <c r="E194" t="inlineStr">
        <is>
          <t>NORSJÖ</t>
        </is>
      </c>
      <c r="G194" t="n">
        <v>5.7</v>
      </c>
      <c r="H194" t="n">
        <v>0</v>
      </c>
      <c r="I194" t="n">
        <v>0</v>
      </c>
      <c r="J194" t="n">
        <v>0</v>
      </c>
      <c r="K194" t="n">
        <v>0</v>
      </c>
      <c r="L194" t="n">
        <v>0</v>
      </c>
      <c r="M194" t="n">
        <v>0</v>
      </c>
      <c r="N194" t="n">
        <v>0</v>
      </c>
      <c r="O194" t="n">
        <v>0</v>
      </c>
      <c r="P194" t="n">
        <v>0</v>
      </c>
      <c r="Q194" t="n">
        <v>0</v>
      </c>
      <c r="R194" s="2" t="inlineStr"/>
    </row>
    <row r="195" ht="15" customHeight="1">
      <c r="A195" t="inlineStr">
        <is>
          <t>A 29347-2025</t>
        </is>
      </c>
      <c r="B195" s="1" t="n">
        <v>45824.51351851852</v>
      </c>
      <c r="C195" s="1" t="n">
        <v>46158</v>
      </c>
      <c r="D195" t="inlineStr">
        <is>
          <t>VÄSTERBOTTENS LÄN</t>
        </is>
      </c>
      <c r="E195" t="inlineStr">
        <is>
          <t>NORSJÖ</t>
        </is>
      </c>
      <c r="G195" t="n">
        <v>3.3</v>
      </c>
      <c r="H195" t="n">
        <v>0</v>
      </c>
      <c r="I195" t="n">
        <v>0</v>
      </c>
      <c r="J195" t="n">
        <v>0</v>
      </c>
      <c r="K195" t="n">
        <v>0</v>
      </c>
      <c r="L195" t="n">
        <v>0</v>
      </c>
      <c r="M195" t="n">
        <v>0</v>
      </c>
      <c r="N195" t="n">
        <v>0</v>
      </c>
      <c r="O195" t="n">
        <v>0</v>
      </c>
      <c r="P195" t="n">
        <v>0</v>
      </c>
      <c r="Q195" t="n">
        <v>0</v>
      </c>
      <c r="R195" s="2" t="inlineStr"/>
    </row>
    <row r="196" ht="15" customHeight="1">
      <c r="A196" t="inlineStr">
        <is>
          <t>A 29475-2025</t>
        </is>
      </c>
      <c r="B196" s="1" t="n">
        <v>45824.7070949074</v>
      </c>
      <c r="C196" s="1" t="n">
        <v>46158</v>
      </c>
      <c r="D196" t="inlineStr">
        <is>
          <t>VÄSTERBOTTENS LÄN</t>
        </is>
      </c>
      <c r="E196" t="inlineStr">
        <is>
          <t>NORSJÖ</t>
        </is>
      </c>
      <c r="F196" t="inlineStr">
        <is>
          <t>Holmen skog AB</t>
        </is>
      </c>
      <c r="G196" t="n">
        <v>6.3</v>
      </c>
      <c r="H196" t="n">
        <v>0</v>
      </c>
      <c r="I196" t="n">
        <v>0</v>
      </c>
      <c r="J196" t="n">
        <v>0</v>
      </c>
      <c r="K196" t="n">
        <v>0</v>
      </c>
      <c r="L196" t="n">
        <v>0</v>
      </c>
      <c r="M196" t="n">
        <v>0</v>
      </c>
      <c r="N196" t="n">
        <v>0</v>
      </c>
      <c r="O196" t="n">
        <v>0</v>
      </c>
      <c r="P196" t="n">
        <v>0</v>
      </c>
      <c r="Q196" t="n">
        <v>0</v>
      </c>
      <c r="R196" s="2" t="inlineStr"/>
    </row>
    <row r="197" ht="15" customHeight="1">
      <c r="A197" t="inlineStr">
        <is>
          <t>A 1882-2026</t>
        </is>
      </c>
      <c r="B197" s="1" t="n">
        <v>46035.47445601852</v>
      </c>
      <c r="C197" s="1" t="n">
        <v>46158</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43823-2025</t>
        </is>
      </c>
      <c r="B198" s="1" t="n">
        <v>45912.61074074074</v>
      </c>
      <c r="C198" s="1" t="n">
        <v>46158</v>
      </c>
      <c r="D198" t="inlineStr">
        <is>
          <t>VÄSTERBOTTENS LÄN</t>
        </is>
      </c>
      <c r="E198" t="inlineStr">
        <is>
          <t>NORSJÖ</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46158</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56154-2025</t>
        </is>
      </c>
      <c r="B200" s="1" t="n">
        <v>45974</v>
      </c>
      <c r="C200" s="1" t="n">
        <v>46158</v>
      </c>
      <c r="D200" t="inlineStr">
        <is>
          <t>VÄSTERBOTTENS LÄN</t>
        </is>
      </c>
      <c r="E200" t="inlineStr">
        <is>
          <t>NORSJÖ</t>
        </is>
      </c>
      <c r="G200" t="n">
        <v>12.1</v>
      </c>
      <c r="H200" t="n">
        <v>0</v>
      </c>
      <c r="I200" t="n">
        <v>0</v>
      </c>
      <c r="J200" t="n">
        <v>0</v>
      </c>
      <c r="K200" t="n">
        <v>0</v>
      </c>
      <c r="L200" t="n">
        <v>0</v>
      </c>
      <c r="M200" t="n">
        <v>0</v>
      </c>
      <c r="N200" t="n">
        <v>0</v>
      </c>
      <c r="O200" t="n">
        <v>0</v>
      </c>
      <c r="P200" t="n">
        <v>0</v>
      </c>
      <c r="Q200" t="n">
        <v>0</v>
      </c>
      <c r="R200" s="2" t="inlineStr"/>
    </row>
    <row r="201" ht="15" customHeight="1">
      <c r="A201" t="inlineStr">
        <is>
          <t>A 17700-2023</t>
        </is>
      </c>
      <c r="B201" s="1" t="n">
        <v>45037.35241898148</v>
      </c>
      <c r="C201" s="1" t="n">
        <v>46158</v>
      </c>
      <c r="D201" t="inlineStr">
        <is>
          <t>VÄSTERBOTTENS LÄN</t>
        </is>
      </c>
      <c r="E201" t="inlineStr">
        <is>
          <t>NORSJÖ</t>
        </is>
      </c>
      <c r="G201" t="n">
        <v>6.3</v>
      </c>
      <c r="H201" t="n">
        <v>0</v>
      </c>
      <c r="I201" t="n">
        <v>0</v>
      </c>
      <c r="J201" t="n">
        <v>0</v>
      </c>
      <c r="K201" t="n">
        <v>0</v>
      </c>
      <c r="L201" t="n">
        <v>0</v>
      </c>
      <c r="M201" t="n">
        <v>0</v>
      </c>
      <c r="N201" t="n">
        <v>0</v>
      </c>
      <c r="O201" t="n">
        <v>0</v>
      </c>
      <c r="P201" t="n">
        <v>0</v>
      </c>
      <c r="Q201" t="n">
        <v>0</v>
      </c>
      <c r="R201" s="2" t="inlineStr"/>
    </row>
    <row r="202" ht="15" customHeight="1">
      <c r="A202" t="inlineStr">
        <is>
          <t>A 39989-2025</t>
        </is>
      </c>
      <c r="B202" s="1" t="n">
        <v>45891</v>
      </c>
      <c r="C202" s="1" t="n">
        <v>46158</v>
      </c>
      <c r="D202" t="inlineStr">
        <is>
          <t>VÄSTERBOTTENS LÄN</t>
        </is>
      </c>
      <c r="E202" t="inlineStr">
        <is>
          <t>NORSJÖ</t>
        </is>
      </c>
      <c r="G202" t="n">
        <v>48.2</v>
      </c>
      <c r="H202" t="n">
        <v>0</v>
      </c>
      <c r="I202" t="n">
        <v>0</v>
      </c>
      <c r="J202" t="n">
        <v>0</v>
      </c>
      <c r="K202" t="n">
        <v>0</v>
      </c>
      <c r="L202" t="n">
        <v>0</v>
      </c>
      <c r="M202" t="n">
        <v>0</v>
      </c>
      <c r="N202" t="n">
        <v>0</v>
      </c>
      <c r="O202" t="n">
        <v>0</v>
      </c>
      <c r="P202" t="n">
        <v>0</v>
      </c>
      <c r="Q202" t="n">
        <v>0</v>
      </c>
      <c r="R202" s="2" t="inlineStr"/>
    </row>
    <row r="203" ht="15" customHeight="1">
      <c r="A203" t="inlineStr">
        <is>
          <t>A 43835-2025</t>
        </is>
      </c>
      <c r="B203" s="1" t="n">
        <v>45912.63228009259</v>
      </c>
      <c r="C203" s="1" t="n">
        <v>46158</v>
      </c>
      <c r="D203" t="inlineStr">
        <is>
          <t>VÄSTERBOTTENS LÄN</t>
        </is>
      </c>
      <c r="E203" t="inlineStr">
        <is>
          <t>NORSJÖ</t>
        </is>
      </c>
      <c r="F203" t="inlineStr">
        <is>
          <t>Sveaskog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40846-2024</t>
        </is>
      </c>
      <c r="B204" s="1" t="n">
        <v>45558.57508101852</v>
      </c>
      <c r="C204" s="1" t="n">
        <v>46158</v>
      </c>
      <c r="D204" t="inlineStr">
        <is>
          <t>VÄSTERBOTTENS LÄN</t>
        </is>
      </c>
      <c r="E204" t="inlineStr">
        <is>
          <t>NORSJÖ</t>
        </is>
      </c>
      <c r="F204" t="inlineStr">
        <is>
          <t>Holmen skog AB</t>
        </is>
      </c>
      <c r="G204" t="n">
        <v>49.4</v>
      </c>
      <c r="H204" t="n">
        <v>0</v>
      </c>
      <c r="I204" t="n">
        <v>0</v>
      </c>
      <c r="J204" t="n">
        <v>0</v>
      </c>
      <c r="K204" t="n">
        <v>0</v>
      </c>
      <c r="L204" t="n">
        <v>0</v>
      </c>
      <c r="M204" t="n">
        <v>0</v>
      </c>
      <c r="N204" t="n">
        <v>0</v>
      </c>
      <c r="O204" t="n">
        <v>0</v>
      </c>
      <c r="P204" t="n">
        <v>0</v>
      </c>
      <c r="Q204" t="n">
        <v>0</v>
      </c>
      <c r="R204" s="2" t="inlineStr"/>
    </row>
    <row r="205" ht="15" customHeight="1">
      <c r="A205" t="inlineStr">
        <is>
          <t>A 43845-2025</t>
        </is>
      </c>
      <c r="B205" s="1" t="n">
        <v>45912.63668981481</v>
      </c>
      <c r="C205" s="1" t="n">
        <v>46158</v>
      </c>
      <c r="D205" t="inlineStr">
        <is>
          <t>VÄSTERBOTTENS LÄN</t>
        </is>
      </c>
      <c r="E205" t="inlineStr">
        <is>
          <t>NORSJÖ</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3535-2026</t>
        </is>
      </c>
      <c r="B206" s="1" t="n">
        <v>46042.62834490741</v>
      </c>
      <c r="C206" s="1" t="n">
        <v>46158</v>
      </c>
      <c r="D206" t="inlineStr">
        <is>
          <t>VÄSTERBOTTENS LÄN</t>
        </is>
      </c>
      <c r="E206" t="inlineStr">
        <is>
          <t>NORSJÖ</t>
        </is>
      </c>
      <c r="G206" t="n">
        <v>4.5</v>
      </c>
      <c r="H206" t="n">
        <v>0</v>
      </c>
      <c r="I206" t="n">
        <v>0</v>
      </c>
      <c r="J206" t="n">
        <v>0</v>
      </c>
      <c r="K206" t="n">
        <v>0</v>
      </c>
      <c r="L206" t="n">
        <v>0</v>
      </c>
      <c r="M206" t="n">
        <v>0</v>
      </c>
      <c r="N206" t="n">
        <v>0</v>
      </c>
      <c r="O206" t="n">
        <v>0</v>
      </c>
      <c r="P206" t="n">
        <v>0</v>
      </c>
      <c r="Q206" t="n">
        <v>0</v>
      </c>
      <c r="R206" s="2" t="inlineStr"/>
    </row>
    <row r="207" ht="15" customHeight="1">
      <c r="A207" t="inlineStr">
        <is>
          <t>A 29682-2025</t>
        </is>
      </c>
      <c r="B207" s="1" t="n">
        <v>45825.51212962963</v>
      </c>
      <c r="C207" s="1" t="n">
        <v>46158</v>
      </c>
      <c r="D207" t="inlineStr">
        <is>
          <t>VÄSTERBOTTENS LÄN</t>
        </is>
      </c>
      <c r="E207" t="inlineStr">
        <is>
          <t>NORSJÖ</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44308-2025</t>
        </is>
      </c>
      <c r="B208" s="1" t="n">
        <v>45916.38</v>
      </c>
      <c r="C208" s="1" t="n">
        <v>46158</v>
      </c>
      <c r="D208" t="inlineStr">
        <is>
          <t>VÄSTERBOTTENS LÄN</t>
        </is>
      </c>
      <c r="E208" t="inlineStr">
        <is>
          <t>NORSJÖ</t>
        </is>
      </c>
      <c r="F208" t="inlineStr">
        <is>
          <t>Holmen skog AB</t>
        </is>
      </c>
      <c r="G208" t="n">
        <v>1.9</v>
      </c>
      <c r="H208" t="n">
        <v>0</v>
      </c>
      <c r="I208" t="n">
        <v>0</v>
      </c>
      <c r="J208" t="n">
        <v>0</v>
      </c>
      <c r="K208" t="n">
        <v>0</v>
      </c>
      <c r="L208" t="n">
        <v>0</v>
      </c>
      <c r="M208" t="n">
        <v>0</v>
      </c>
      <c r="N208" t="n">
        <v>0</v>
      </c>
      <c r="O208" t="n">
        <v>0</v>
      </c>
      <c r="P208" t="n">
        <v>0</v>
      </c>
      <c r="Q208" t="n">
        <v>0</v>
      </c>
      <c r="R208" s="2" t="inlineStr"/>
    </row>
    <row r="209" ht="15" customHeight="1">
      <c r="A209" t="inlineStr">
        <is>
          <t>A 37569-2024</t>
        </is>
      </c>
      <c r="B209" s="1" t="n">
        <v>45541.45086805556</v>
      </c>
      <c r="C209" s="1" t="n">
        <v>46158</v>
      </c>
      <c r="D209" t="inlineStr">
        <is>
          <t>VÄSTERBOTTENS LÄN</t>
        </is>
      </c>
      <c r="E209" t="inlineStr">
        <is>
          <t>NORSJÖ</t>
        </is>
      </c>
      <c r="F209" t="inlineStr">
        <is>
          <t>Holmen skog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46158</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44623-2025</t>
        </is>
      </c>
      <c r="B211" s="1" t="n">
        <v>45917.47033564815</v>
      </c>
      <c r="C211" s="1" t="n">
        <v>46158</v>
      </c>
      <c r="D211" t="inlineStr">
        <is>
          <t>VÄSTERBOTTENS LÄN</t>
        </is>
      </c>
      <c r="E211" t="inlineStr">
        <is>
          <t>NORSJÖ</t>
        </is>
      </c>
      <c r="F211" t="inlineStr">
        <is>
          <t>Holmen skog AB</t>
        </is>
      </c>
      <c r="G211" t="n">
        <v>5</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45604.42592592593</v>
      </c>
      <c r="C212" s="1" t="n">
        <v>46158</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30894-2025</t>
        </is>
      </c>
      <c r="B213" s="1" t="n">
        <v>45832.3468287037</v>
      </c>
      <c r="C213" s="1" t="n">
        <v>46158</v>
      </c>
      <c r="D213" t="inlineStr">
        <is>
          <t>VÄSTERBOTTENS LÄN</t>
        </is>
      </c>
      <c r="E213" t="inlineStr">
        <is>
          <t>NORSJÖ</t>
        </is>
      </c>
      <c r="G213" t="n">
        <v>7.1</v>
      </c>
      <c r="H213" t="n">
        <v>0</v>
      </c>
      <c r="I213" t="n">
        <v>0</v>
      </c>
      <c r="J213" t="n">
        <v>0</v>
      </c>
      <c r="K213" t="n">
        <v>0</v>
      </c>
      <c r="L213" t="n">
        <v>0</v>
      </c>
      <c r="M213" t="n">
        <v>0</v>
      </c>
      <c r="N213" t="n">
        <v>0</v>
      </c>
      <c r="O213" t="n">
        <v>0</v>
      </c>
      <c r="P213" t="n">
        <v>0</v>
      </c>
      <c r="Q213" t="n">
        <v>0</v>
      </c>
      <c r="R213" s="2" t="inlineStr"/>
    </row>
    <row r="214" ht="15" customHeight="1">
      <c r="A214" t="inlineStr">
        <is>
          <t>A 45693-2024</t>
        </is>
      </c>
      <c r="B214" s="1" t="n">
        <v>45579.555625</v>
      </c>
      <c r="C214" s="1" t="n">
        <v>46158</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30588-2025</t>
        </is>
      </c>
      <c r="B215" s="1" t="n">
        <v>45831.42825231481</v>
      </c>
      <c r="C215" s="1" t="n">
        <v>46158</v>
      </c>
      <c r="D215" t="inlineStr">
        <is>
          <t>VÄSTERBOTTENS LÄN</t>
        </is>
      </c>
      <c r="E215" t="inlineStr">
        <is>
          <t>NORSJÖ</t>
        </is>
      </c>
      <c r="G215" t="n">
        <v>3.2</v>
      </c>
      <c r="H215" t="n">
        <v>0</v>
      </c>
      <c r="I215" t="n">
        <v>0</v>
      </c>
      <c r="J215" t="n">
        <v>0</v>
      </c>
      <c r="K215" t="n">
        <v>0</v>
      </c>
      <c r="L215" t="n">
        <v>0</v>
      </c>
      <c r="M215" t="n">
        <v>0</v>
      </c>
      <c r="N215" t="n">
        <v>0</v>
      </c>
      <c r="O215" t="n">
        <v>0</v>
      </c>
      <c r="P215" t="n">
        <v>0</v>
      </c>
      <c r="Q215" t="n">
        <v>0</v>
      </c>
      <c r="R215" s="2" t="inlineStr"/>
    </row>
    <row r="216" ht="15" customHeight="1">
      <c r="A216" t="inlineStr">
        <is>
          <t>A 45541-2025</t>
        </is>
      </c>
      <c r="B216" s="1" t="n">
        <v>45922.61495370371</v>
      </c>
      <c r="C216" s="1" t="n">
        <v>46158</v>
      </c>
      <c r="D216" t="inlineStr">
        <is>
          <t>VÄSTERBOTTENS LÄN</t>
        </is>
      </c>
      <c r="E216" t="inlineStr">
        <is>
          <t>NORSJÖ</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45146-2025</t>
        </is>
      </c>
      <c r="B217" s="1" t="n">
        <v>45919</v>
      </c>
      <c r="C217" s="1" t="n">
        <v>46158</v>
      </c>
      <c r="D217" t="inlineStr">
        <is>
          <t>VÄSTERBOTTENS LÄN</t>
        </is>
      </c>
      <c r="E217" t="inlineStr">
        <is>
          <t>NORSJÖ</t>
        </is>
      </c>
      <c r="G217" t="n">
        <v>6.3</v>
      </c>
      <c r="H217" t="n">
        <v>0</v>
      </c>
      <c r="I217" t="n">
        <v>0</v>
      </c>
      <c r="J217" t="n">
        <v>0</v>
      </c>
      <c r="K217" t="n">
        <v>0</v>
      </c>
      <c r="L217" t="n">
        <v>0</v>
      </c>
      <c r="M217" t="n">
        <v>0</v>
      </c>
      <c r="N217" t="n">
        <v>0</v>
      </c>
      <c r="O217" t="n">
        <v>0</v>
      </c>
      <c r="P217" t="n">
        <v>0</v>
      </c>
      <c r="Q217" t="n">
        <v>0</v>
      </c>
      <c r="R217" s="2" t="inlineStr"/>
    </row>
    <row r="218" ht="15" customHeight="1">
      <c r="A218" t="inlineStr">
        <is>
          <t>A 41386-2023</t>
        </is>
      </c>
      <c r="B218" s="1" t="n">
        <v>45174.92231481482</v>
      </c>
      <c r="C218" s="1" t="n">
        <v>46158</v>
      </c>
      <c r="D218" t="inlineStr">
        <is>
          <t>VÄSTERBOTTENS LÄN</t>
        </is>
      </c>
      <c r="E218" t="inlineStr">
        <is>
          <t>NORSJÖ</t>
        </is>
      </c>
      <c r="G218" t="n">
        <v>4.4</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46158</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46158</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31512-2025</t>
        </is>
      </c>
      <c r="B221" s="1" t="n">
        <v>45833.5987962963</v>
      </c>
      <c r="C221" s="1" t="n">
        <v>46158</v>
      </c>
      <c r="D221" t="inlineStr">
        <is>
          <t>VÄSTERBOTTENS LÄN</t>
        </is>
      </c>
      <c r="E221" t="inlineStr">
        <is>
          <t>NORSJÖ</t>
        </is>
      </c>
      <c r="G221" t="n">
        <v>1.7</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46158</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45662-2025</t>
        </is>
      </c>
      <c r="B223" s="1" t="n">
        <v>45923.34506944445</v>
      </c>
      <c r="C223" s="1" t="n">
        <v>46158</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38012-2024</t>
        </is>
      </c>
      <c r="B224" s="1" t="n">
        <v>45544.62537037037</v>
      </c>
      <c r="C224" s="1" t="n">
        <v>46158</v>
      </c>
      <c r="D224" t="inlineStr">
        <is>
          <t>VÄSTERBOTTENS LÄN</t>
        </is>
      </c>
      <c r="E224" t="inlineStr">
        <is>
          <t>NORSJÖ</t>
        </is>
      </c>
      <c r="F224" t="inlineStr">
        <is>
          <t>Naturvårdsverket</t>
        </is>
      </c>
      <c r="G224" t="n">
        <v>7.2</v>
      </c>
      <c r="H224" t="n">
        <v>0</v>
      </c>
      <c r="I224" t="n">
        <v>0</v>
      </c>
      <c r="J224" t="n">
        <v>0</v>
      </c>
      <c r="K224" t="n">
        <v>0</v>
      </c>
      <c r="L224" t="n">
        <v>0</v>
      </c>
      <c r="M224" t="n">
        <v>0</v>
      </c>
      <c r="N224" t="n">
        <v>0</v>
      </c>
      <c r="O224" t="n">
        <v>0</v>
      </c>
      <c r="P224" t="n">
        <v>0</v>
      </c>
      <c r="Q224" t="n">
        <v>0</v>
      </c>
      <c r="R224" s="2" t="inlineStr"/>
    </row>
    <row r="225" ht="15" customHeight="1">
      <c r="A225" t="inlineStr">
        <is>
          <t>A 32455-2025</t>
        </is>
      </c>
      <c r="B225" s="1" t="n">
        <v>45838.40053240741</v>
      </c>
      <c r="C225" s="1" t="n">
        <v>46158</v>
      </c>
      <c r="D225" t="inlineStr">
        <is>
          <t>VÄSTERBOTTENS LÄN</t>
        </is>
      </c>
      <c r="E225" t="inlineStr">
        <is>
          <t>NORSJÖ</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46035-2025</t>
        </is>
      </c>
      <c r="B226" s="1" t="n">
        <v>45924</v>
      </c>
      <c r="C226" s="1" t="n">
        <v>46158</v>
      </c>
      <c r="D226" t="inlineStr">
        <is>
          <t>VÄSTERBOTTENS LÄN</t>
        </is>
      </c>
      <c r="E226" t="inlineStr">
        <is>
          <t>NORSJÖ</t>
        </is>
      </c>
      <c r="G226" t="n">
        <v>5.8</v>
      </c>
      <c r="H226" t="n">
        <v>0</v>
      </c>
      <c r="I226" t="n">
        <v>0</v>
      </c>
      <c r="J226" t="n">
        <v>0</v>
      </c>
      <c r="K226" t="n">
        <v>0</v>
      </c>
      <c r="L226" t="n">
        <v>0</v>
      </c>
      <c r="M226" t="n">
        <v>0</v>
      </c>
      <c r="N226" t="n">
        <v>0</v>
      </c>
      <c r="O226" t="n">
        <v>0</v>
      </c>
      <c r="P226" t="n">
        <v>0</v>
      </c>
      <c r="Q226" t="n">
        <v>0</v>
      </c>
      <c r="R226" s="2" t="inlineStr"/>
    </row>
    <row r="227" ht="15" customHeight="1">
      <c r="A227" t="inlineStr">
        <is>
          <t>A 45661-2025</t>
        </is>
      </c>
      <c r="B227" s="1" t="n">
        <v>45923.34505787037</v>
      </c>
      <c r="C227" s="1" t="n">
        <v>46158</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49026-2025</t>
        </is>
      </c>
      <c r="B228" s="1" t="n">
        <v>45936</v>
      </c>
      <c r="C228" s="1" t="n">
        <v>46158</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46158</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46158</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33020-2025</t>
        </is>
      </c>
      <c r="B231" s="1" t="n">
        <v>45840.37125</v>
      </c>
      <c r="C231" s="1" t="n">
        <v>46158</v>
      </c>
      <c r="D231" t="inlineStr">
        <is>
          <t>VÄSTERBOTTENS LÄN</t>
        </is>
      </c>
      <c r="E231" t="inlineStr">
        <is>
          <t>NORSJÖ</t>
        </is>
      </c>
      <c r="G231" t="n">
        <v>19.1</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46158</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33242-2025</t>
        </is>
      </c>
      <c r="B233" s="1" t="n">
        <v>45840.65033564815</v>
      </c>
      <c r="C233" s="1" t="n">
        <v>46158</v>
      </c>
      <c r="D233" t="inlineStr">
        <is>
          <t>VÄSTERBOTTENS LÄN</t>
        </is>
      </c>
      <c r="E233" t="inlineStr">
        <is>
          <t>NORSJÖ</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32439-2025</t>
        </is>
      </c>
      <c r="B234" s="1" t="n">
        <v>45838.3827662037</v>
      </c>
      <c r="C234" s="1" t="n">
        <v>46158</v>
      </c>
      <c r="D234" t="inlineStr">
        <is>
          <t>VÄSTERBOTTENS LÄN</t>
        </is>
      </c>
      <c r="E234" t="inlineStr">
        <is>
          <t>NORSJÖ</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47182-2025</t>
        </is>
      </c>
      <c r="B235" s="1" t="n">
        <v>45930.31474537037</v>
      </c>
      <c r="C235" s="1" t="n">
        <v>46158</v>
      </c>
      <c r="D235" t="inlineStr">
        <is>
          <t>VÄSTERBOTTENS LÄN</t>
        </is>
      </c>
      <c r="E235" t="inlineStr">
        <is>
          <t>NORSJÖ</t>
        </is>
      </c>
      <c r="F235" t="inlineStr">
        <is>
          <t>Holmen skog AB</t>
        </is>
      </c>
      <c r="G235" t="n">
        <v>4.9</v>
      </c>
      <c r="H235" t="n">
        <v>0</v>
      </c>
      <c r="I235" t="n">
        <v>0</v>
      </c>
      <c r="J235" t="n">
        <v>0</v>
      </c>
      <c r="K235" t="n">
        <v>0</v>
      </c>
      <c r="L235" t="n">
        <v>0</v>
      </c>
      <c r="M235" t="n">
        <v>0</v>
      </c>
      <c r="N235" t="n">
        <v>0</v>
      </c>
      <c r="O235" t="n">
        <v>0</v>
      </c>
      <c r="P235" t="n">
        <v>0</v>
      </c>
      <c r="Q235" t="n">
        <v>0</v>
      </c>
      <c r="R235" s="2" t="inlineStr"/>
    </row>
    <row r="236" ht="15" customHeight="1">
      <c r="A236" t="inlineStr">
        <is>
          <t>A 47419-2025</t>
        </is>
      </c>
      <c r="B236" s="1" t="n">
        <v>45930.62128472222</v>
      </c>
      <c r="C236" s="1" t="n">
        <v>46158</v>
      </c>
      <c r="D236" t="inlineStr">
        <is>
          <t>VÄSTERBOTTENS LÄN</t>
        </is>
      </c>
      <c r="E236" t="inlineStr">
        <is>
          <t>NORSJÖ</t>
        </is>
      </c>
      <c r="F236" t="inlineStr">
        <is>
          <t>Holmen skog AB</t>
        </is>
      </c>
      <c r="G236" t="n">
        <v>7.7</v>
      </c>
      <c r="H236" t="n">
        <v>0</v>
      </c>
      <c r="I236" t="n">
        <v>0</v>
      </c>
      <c r="J236" t="n">
        <v>0</v>
      </c>
      <c r="K236" t="n">
        <v>0</v>
      </c>
      <c r="L236" t="n">
        <v>0</v>
      </c>
      <c r="M236" t="n">
        <v>0</v>
      </c>
      <c r="N236" t="n">
        <v>0</v>
      </c>
      <c r="O236" t="n">
        <v>0</v>
      </c>
      <c r="P236" t="n">
        <v>0</v>
      </c>
      <c r="Q236" t="n">
        <v>0</v>
      </c>
      <c r="R236" s="2" t="inlineStr"/>
    </row>
    <row r="237" ht="15" customHeight="1">
      <c r="A237" t="inlineStr">
        <is>
          <t>A 33943-2025</t>
        </is>
      </c>
      <c r="B237" s="1" t="n">
        <v>45842.64652777778</v>
      </c>
      <c r="C237" s="1" t="n">
        <v>46158</v>
      </c>
      <c r="D237" t="inlineStr">
        <is>
          <t>VÄSTERBOTTENS LÄN</t>
        </is>
      </c>
      <c r="E237" t="inlineStr">
        <is>
          <t>NORSJÖ</t>
        </is>
      </c>
      <c r="F237" t="inlineStr">
        <is>
          <t>Holmen skog AB</t>
        </is>
      </c>
      <c r="G237" t="n">
        <v>12.3</v>
      </c>
      <c r="H237" t="n">
        <v>0</v>
      </c>
      <c r="I237" t="n">
        <v>0</v>
      </c>
      <c r="J237" t="n">
        <v>0</v>
      </c>
      <c r="K237" t="n">
        <v>0</v>
      </c>
      <c r="L237" t="n">
        <v>0</v>
      </c>
      <c r="M237" t="n">
        <v>0</v>
      </c>
      <c r="N237" t="n">
        <v>0</v>
      </c>
      <c r="O237" t="n">
        <v>0</v>
      </c>
      <c r="P237" t="n">
        <v>0</v>
      </c>
      <c r="Q237" t="n">
        <v>0</v>
      </c>
      <c r="R237" s="2" t="inlineStr"/>
    </row>
    <row r="238" ht="15" customHeight="1">
      <c r="A238" t="inlineStr">
        <is>
          <t>A 45618-2021</t>
        </is>
      </c>
      <c r="B238" s="1" t="n">
        <v>44440.9255324074</v>
      </c>
      <c r="C238" s="1" t="n">
        <v>46158</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46158</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46158</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46158</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33894-2025</t>
        </is>
      </c>
      <c r="B242" s="1" t="n">
        <v>45842.58432870371</v>
      </c>
      <c r="C242" s="1" t="n">
        <v>46158</v>
      </c>
      <c r="D242" t="inlineStr">
        <is>
          <t>VÄSTERBOTTENS LÄN</t>
        </is>
      </c>
      <c r="E242" t="inlineStr">
        <is>
          <t>NORSJÖ</t>
        </is>
      </c>
      <c r="F242" t="inlineStr">
        <is>
          <t>Holmen skog AB</t>
        </is>
      </c>
      <c r="G242" t="n">
        <v>4</v>
      </c>
      <c r="H242" t="n">
        <v>0</v>
      </c>
      <c r="I242" t="n">
        <v>0</v>
      </c>
      <c r="J242" t="n">
        <v>0</v>
      </c>
      <c r="K242" t="n">
        <v>0</v>
      </c>
      <c r="L242" t="n">
        <v>0</v>
      </c>
      <c r="M242" t="n">
        <v>0</v>
      </c>
      <c r="N242" t="n">
        <v>0</v>
      </c>
      <c r="O242" t="n">
        <v>0</v>
      </c>
      <c r="P242" t="n">
        <v>0</v>
      </c>
      <c r="Q242" t="n">
        <v>0</v>
      </c>
      <c r="R242" s="2" t="inlineStr"/>
    </row>
    <row r="243" ht="15" customHeight="1">
      <c r="A243" t="inlineStr">
        <is>
          <t>A 33787-2025</t>
        </is>
      </c>
      <c r="B243" s="1" t="n">
        <v>45842.41072916667</v>
      </c>
      <c r="C243" s="1" t="n">
        <v>46158</v>
      </c>
      <c r="D243" t="inlineStr">
        <is>
          <t>VÄSTERBOTTENS LÄN</t>
        </is>
      </c>
      <c r="E243" t="inlineStr">
        <is>
          <t>NORSJÖ</t>
        </is>
      </c>
      <c r="F243" t="inlineStr">
        <is>
          <t>Holmen skog AB</t>
        </is>
      </c>
      <c r="G243" t="n">
        <v>9</v>
      </c>
      <c r="H243" t="n">
        <v>0</v>
      </c>
      <c r="I243" t="n">
        <v>0</v>
      </c>
      <c r="J243" t="n">
        <v>0</v>
      </c>
      <c r="K243" t="n">
        <v>0</v>
      </c>
      <c r="L243" t="n">
        <v>0</v>
      </c>
      <c r="M243" t="n">
        <v>0</v>
      </c>
      <c r="N243" t="n">
        <v>0</v>
      </c>
      <c r="O243" t="n">
        <v>0</v>
      </c>
      <c r="P243" t="n">
        <v>0</v>
      </c>
      <c r="Q243" t="n">
        <v>0</v>
      </c>
      <c r="R243" s="2" t="inlineStr"/>
    </row>
    <row r="244" ht="15" customHeight="1">
      <c r="A244" t="inlineStr">
        <is>
          <t>A 33615-2025</t>
        </is>
      </c>
      <c r="B244" s="1" t="n">
        <v>45841.621875</v>
      </c>
      <c r="C244" s="1" t="n">
        <v>46158</v>
      </c>
      <c r="D244" t="inlineStr">
        <is>
          <t>VÄSTERBOTTENS LÄN</t>
        </is>
      </c>
      <c r="E244" t="inlineStr">
        <is>
          <t>NORSJÖ</t>
        </is>
      </c>
      <c r="F244" t="inlineStr">
        <is>
          <t>Holmen skog AB</t>
        </is>
      </c>
      <c r="G244" t="n">
        <v>9.5</v>
      </c>
      <c r="H244" t="n">
        <v>0</v>
      </c>
      <c r="I244" t="n">
        <v>0</v>
      </c>
      <c r="J244" t="n">
        <v>0</v>
      </c>
      <c r="K244" t="n">
        <v>0</v>
      </c>
      <c r="L244" t="n">
        <v>0</v>
      </c>
      <c r="M244" t="n">
        <v>0</v>
      </c>
      <c r="N244" t="n">
        <v>0</v>
      </c>
      <c r="O244" t="n">
        <v>0</v>
      </c>
      <c r="P244" t="n">
        <v>0</v>
      </c>
      <c r="Q244" t="n">
        <v>0</v>
      </c>
      <c r="R244" s="2" t="inlineStr"/>
    </row>
    <row r="245" ht="15" customHeight="1">
      <c r="A245" t="inlineStr">
        <is>
          <t>A 33893-2025</t>
        </is>
      </c>
      <c r="B245" s="1" t="n">
        <v>45842.57553240741</v>
      </c>
      <c r="C245" s="1" t="n">
        <v>46158</v>
      </c>
      <c r="D245" t="inlineStr">
        <is>
          <t>VÄSTERBOTTENS LÄN</t>
        </is>
      </c>
      <c r="E245" t="inlineStr">
        <is>
          <t>NORSJÖ</t>
        </is>
      </c>
      <c r="F245" t="inlineStr">
        <is>
          <t>Holmen skog AB</t>
        </is>
      </c>
      <c r="G245" t="n">
        <v>13.2</v>
      </c>
      <c r="H245" t="n">
        <v>0</v>
      </c>
      <c r="I245" t="n">
        <v>0</v>
      </c>
      <c r="J245" t="n">
        <v>0</v>
      </c>
      <c r="K245" t="n">
        <v>0</v>
      </c>
      <c r="L245" t="n">
        <v>0</v>
      </c>
      <c r="M245" t="n">
        <v>0</v>
      </c>
      <c r="N245" t="n">
        <v>0</v>
      </c>
      <c r="O245" t="n">
        <v>0</v>
      </c>
      <c r="P245" t="n">
        <v>0</v>
      </c>
      <c r="Q245" t="n">
        <v>0</v>
      </c>
      <c r="R245" s="2" t="inlineStr"/>
    </row>
    <row r="246" ht="15" customHeight="1">
      <c r="A246" t="inlineStr">
        <is>
          <t>A 55931-2024</t>
        </is>
      </c>
      <c r="B246" s="1" t="n">
        <v>45623.60524305556</v>
      </c>
      <c r="C246" s="1" t="n">
        <v>46158</v>
      </c>
      <c r="D246" t="inlineStr">
        <is>
          <t>VÄSTERBOTTENS LÄN</t>
        </is>
      </c>
      <c r="E246" t="inlineStr">
        <is>
          <t>NORSJÖ</t>
        </is>
      </c>
      <c r="G246" t="n">
        <v>0.5</v>
      </c>
      <c r="H246" t="n">
        <v>0</v>
      </c>
      <c r="I246" t="n">
        <v>0</v>
      </c>
      <c r="J246" t="n">
        <v>0</v>
      </c>
      <c r="K246" t="n">
        <v>0</v>
      </c>
      <c r="L246" t="n">
        <v>0</v>
      </c>
      <c r="M246" t="n">
        <v>0</v>
      </c>
      <c r="N246" t="n">
        <v>0</v>
      </c>
      <c r="O246" t="n">
        <v>0</v>
      </c>
      <c r="P246" t="n">
        <v>0</v>
      </c>
      <c r="Q246" t="n">
        <v>0</v>
      </c>
      <c r="R246" s="2" t="inlineStr"/>
    </row>
    <row r="247" ht="15" customHeight="1">
      <c r="A247" t="inlineStr">
        <is>
          <t>A 55951-2024</t>
        </is>
      </c>
      <c r="B247" s="1" t="n">
        <v>45623.6249537037</v>
      </c>
      <c r="C247" s="1" t="n">
        <v>46158</v>
      </c>
      <c r="D247" t="inlineStr">
        <is>
          <t>VÄSTERBOTTENS LÄN</t>
        </is>
      </c>
      <c r="E247" t="inlineStr">
        <is>
          <t>NORSJÖ</t>
        </is>
      </c>
      <c r="G247" t="n">
        <v>11.4</v>
      </c>
      <c r="H247" t="n">
        <v>0</v>
      </c>
      <c r="I247" t="n">
        <v>0</v>
      </c>
      <c r="J247" t="n">
        <v>0</v>
      </c>
      <c r="K247" t="n">
        <v>0</v>
      </c>
      <c r="L247" t="n">
        <v>0</v>
      </c>
      <c r="M247" t="n">
        <v>0</v>
      </c>
      <c r="N247" t="n">
        <v>0</v>
      </c>
      <c r="O247" t="n">
        <v>0</v>
      </c>
      <c r="P247" t="n">
        <v>0</v>
      </c>
      <c r="Q247" t="n">
        <v>0</v>
      </c>
      <c r="R247" s="2" t="inlineStr"/>
    </row>
    <row r="248" ht="15" customHeight="1">
      <c r="A248" t="inlineStr">
        <is>
          <t>A 33920-2025</t>
        </is>
      </c>
      <c r="B248" s="1" t="n">
        <v>45842.61521990741</v>
      </c>
      <c r="C248" s="1" t="n">
        <v>46158</v>
      </c>
      <c r="D248" t="inlineStr">
        <is>
          <t>VÄSTERBOTTENS LÄN</t>
        </is>
      </c>
      <c r="E248" t="inlineStr">
        <is>
          <t>NORSJÖ</t>
        </is>
      </c>
      <c r="G248" t="n">
        <v>0.4</v>
      </c>
      <c r="H248" t="n">
        <v>0</v>
      </c>
      <c r="I248" t="n">
        <v>0</v>
      </c>
      <c r="J248" t="n">
        <v>0</v>
      </c>
      <c r="K248" t="n">
        <v>0</v>
      </c>
      <c r="L248" t="n">
        <v>0</v>
      </c>
      <c r="M248" t="n">
        <v>0</v>
      </c>
      <c r="N248" t="n">
        <v>0</v>
      </c>
      <c r="O248" t="n">
        <v>0</v>
      </c>
      <c r="P248" t="n">
        <v>0</v>
      </c>
      <c r="Q248" t="n">
        <v>0</v>
      </c>
      <c r="R248" s="2" t="inlineStr"/>
    </row>
    <row r="249" ht="15" customHeight="1">
      <c r="A249" t="inlineStr">
        <is>
          <t>A 18853-2024</t>
        </is>
      </c>
      <c r="B249" s="1" t="n">
        <v>45426</v>
      </c>
      <c r="C249" s="1" t="n">
        <v>46158</v>
      </c>
      <c r="D249" t="inlineStr">
        <is>
          <t>VÄSTERBOTTENS LÄN</t>
        </is>
      </c>
      <c r="E249" t="inlineStr">
        <is>
          <t>NORSJÖ</t>
        </is>
      </c>
      <c r="G249" t="n">
        <v>0.4</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45622.56356481482</v>
      </c>
      <c r="C250" s="1" t="n">
        <v>46158</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33389-2025</t>
        </is>
      </c>
      <c r="B251" s="1" t="n">
        <v>45841.40692129629</v>
      </c>
      <c r="C251" s="1" t="n">
        <v>46158</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34457-2025</t>
        </is>
      </c>
      <c r="B252" s="1" t="n">
        <v>45846</v>
      </c>
      <c r="C252" s="1" t="n">
        <v>46158</v>
      </c>
      <c r="D252" t="inlineStr">
        <is>
          <t>VÄSTERBOTTENS LÄN</t>
        </is>
      </c>
      <c r="E252" t="inlineStr">
        <is>
          <t>NORSJÖ</t>
        </is>
      </c>
      <c r="G252" t="n">
        <v>2.4</v>
      </c>
      <c r="H252" t="n">
        <v>0</v>
      </c>
      <c r="I252" t="n">
        <v>0</v>
      </c>
      <c r="J252" t="n">
        <v>0</v>
      </c>
      <c r="K252" t="n">
        <v>0</v>
      </c>
      <c r="L252" t="n">
        <v>0</v>
      </c>
      <c r="M252" t="n">
        <v>0</v>
      </c>
      <c r="N252" t="n">
        <v>0</v>
      </c>
      <c r="O252" t="n">
        <v>0</v>
      </c>
      <c r="P252" t="n">
        <v>0</v>
      </c>
      <c r="Q252" t="n">
        <v>0</v>
      </c>
      <c r="R252" s="2" t="inlineStr"/>
    </row>
    <row r="253" ht="15" customHeight="1">
      <c r="A253" t="inlineStr">
        <is>
          <t>A 54712-2024</t>
        </is>
      </c>
      <c r="B253" s="1" t="n">
        <v>45617</v>
      </c>
      <c r="C253" s="1" t="n">
        <v>46158</v>
      </c>
      <c r="D253" t="inlineStr">
        <is>
          <t>VÄSTERBOTTENS LÄN</t>
        </is>
      </c>
      <c r="E253" t="inlineStr">
        <is>
          <t>NORSJÖ</t>
        </is>
      </c>
      <c r="G253" t="n">
        <v>16.6</v>
      </c>
      <c r="H253" t="n">
        <v>0</v>
      </c>
      <c r="I253" t="n">
        <v>0</v>
      </c>
      <c r="J253" t="n">
        <v>0</v>
      </c>
      <c r="K253" t="n">
        <v>0</v>
      </c>
      <c r="L253" t="n">
        <v>0</v>
      </c>
      <c r="M253" t="n">
        <v>0</v>
      </c>
      <c r="N253" t="n">
        <v>0</v>
      </c>
      <c r="O253" t="n">
        <v>0</v>
      </c>
      <c r="P253" t="n">
        <v>0</v>
      </c>
      <c r="Q253" t="n">
        <v>0</v>
      </c>
      <c r="R253" s="2" t="inlineStr"/>
    </row>
    <row r="254" ht="15" customHeight="1">
      <c r="A254" t="inlineStr">
        <is>
          <t>A 55919-2024</t>
        </is>
      </c>
      <c r="B254" s="1" t="n">
        <v>45623.59846064815</v>
      </c>
      <c r="C254" s="1" t="n">
        <v>46158</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34564-2025</t>
        </is>
      </c>
      <c r="B255" s="1" t="n">
        <v>45846</v>
      </c>
      <c r="C255" s="1" t="n">
        <v>46158</v>
      </c>
      <c r="D255" t="inlineStr">
        <is>
          <t>VÄSTERBOTTENS LÄN</t>
        </is>
      </c>
      <c r="E255" t="inlineStr">
        <is>
          <t>NORSJÖ</t>
        </is>
      </c>
      <c r="G255" t="n">
        <v>3.9</v>
      </c>
      <c r="H255" t="n">
        <v>0</v>
      </c>
      <c r="I255" t="n">
        <v>0</v>
      </c>
      <c r="J255" t="n">
        <v>0</v>
      </c>
      <c r="K255" t="n">
        <v>0</v>
      </c>
      <c r="L255" t="n">
        <v>0</v>
      </c>
      <c r="M255" t="n">
        <v>0</v>
      </c>
      <c r="N255" t="n">
        <v>0</v>
      </c>
      <c r="O255" t="n">
        <v>0</v>
      </c>
      <c r="P255" t="n">
        <v>0</v>
      </c>
      <c r="Q255" t="n">
        <v>0</v>
      </c>
      <c r="R255" s="2" t="inlineStr"/>
    </row>
    <row r="256" ht="15" customHeight="1">
      <c r="A256" t="inlineStr">
        <is>
          <t>A 6215-2026</t>
        </is>
      </c>
      <c r="B256" s="1" t="n">
        <v>46055.42748842593</v>
      </c>
      <c r="C256" s="1" t="n">
        <v>46158</v>
      </c>
      <c r="D256" t="inlineStr">
        <is>
          <t>VÄSTERBOTTENS LÄN</t>
        </is>
      </c>
      <c r="E256" t="inlineStr">
        <is>
          <t>NORSJÖ</t>
        </is>
      </c>
      <c r="G256" t="n">
        <v>1.4</v>
      </c>
      <c r="H256" t="n">
        <v>0</v>
      </c>
      <c r="I256" t="n">
        <v>0</v>
      </c>
      <c r="J256" t="n">
        <v>0</v>
      </c>
      <c r="K256" t="n">
        <v>0</v>
      </c>
      <c r="L256" t="n">
        <v>0</v>
      </c>
      <c r="M256" t="n">
        <v>0</v>
      </c>
      <c r="N256" t="n">
        <v>0</v>
      </c>
      <c r="O256" t="n">
        <v>0</v>
      </c>
      <c r="P256" t="n">
        <v>0</v>
      </c>
      <c r="Q256" t="n">
        <v>0</v>
      </c>
      <c r="R256" s="2" t="inlineStr"/>
    </row>
    <row r="257" ht="15" customHeight="1">
      <c r="A257" t="inlineStr">
        <is>
          <t>A 15085-2022</t>
        </is>
      </c>
      <c r="B257" s="1" t="n">
        <v>44657.93243055556</v>
      </c>
      <c r="C257" s="1" t="n">
        <v>46158</v>
      </c>
      <c r="D257" t="inlineStr">
        <is>
          <t>VÄSTERBOTTENS LÄN</t>
        </is>
      </c>
      <c r="E257" t="inlineStr">
        <is>
          <t>NORSJÖ</t>
        </is>
      </c>
      <c r="F257" t="inlineStr">
        <is>
          <t>Kyrkan</t>
        </is>
      </c>
      <c r="G257" t="n">
        <v>4.4</v>
      </c>
      <c r="H257" t="n">
        <v>0</v>
      </c>
      <c r="I257" t="n">
        <v>0</v>
      </c>
      <c r="J257" t="n">
        <v>0</v>
      </c>
      <c r="K257" t="n">
        <v>0</v>
      </c>
      <c r="L257" t="n">
        <v>0</v>
      </c>
      <c r="M257" t="n">
        <v>0</v>
      </c>
      <c r="N257" t="n">
        <v>0</v>
      </c>
      <c r="O257" t="n">
        <v>0</v>
      </c>
      <c r="P257" t="n">
        <v>0</v>
      </c>
      <c r="Q257" t="n">
        <v>0</v>
      </c>
      <c r="R257" s="2" t="inlineStr"/>
    </row>
    <row r="258" ht="15" customHeight="1">
      <c r="A258" t="inlineStr">
        <is>
          <t>A 49011-2025</t>
        </is>
      </c>
      <c r="B258" s="1" t="n">
        <v>45936</v>
      </c>
      <c r="C258" s="1" t="n">
        <v>46158</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48574-2025</t>
        </is>
      </c>
      <c r="B259" s="1" t="n">
        <v>45936.4525</v>
      </c>
      <c r="C259" s="1" t="n">
        <v>46158</v>
      </c>
      <c r="D259" t="inlineStr">
        <is>
          <t>VÄSTERBOTTENS LÄN</t>
        </is>
      </c>
      <c r="E259" t="inlineStr">
        <is>
          <t>NORSJÖ</t>
        </is>
      </c>
      <c r="F259" t="inlineStr">
        <is>
          <t>Holmen skog AB</t>
        </is>
      </c>
      <c r="G259" t="n">
        <v>8</v>
      </c>
      <c r="H259" t="n">
        <v>0</v>
      </c>
      <c r="I259" t="n">
        <v>0</v>
      </c>
      <c r="J259" t="n">
        <v>0</v>
      </c>
      <c r="K259" t="n">
        <v>0</v>
      </c>
      <c r="L259" t="n">
        <v>0</v>
      </c>
      <c r="M259" t="n">
        <v>0</v>
      </c>
      <c r="N259" t="n">
        <v>0</v>
      </c>
      <c r="O259" t="n">
        <v>0</v>
      </c>
      <c r="P259" t="n">
        <v>0</v>
      </c>
      <c r="Q259" t="n">
        <v>0</v>
      </c>
      <c r="R259" s="2" t="inlineStr"/>
    </row>
    <row r="260" ht="15" customHeight="1">
      <c r="A260" t="inlineStr">
        <is>
          <t>A 49006-2025</t>
        </is>
      </c>
      <c r="B260" s="1" t="n">
        <v>45936</v>
      </c>
      <c r="C260" s="1" t="n">
        <v>46158</v>
      </c>
      <c r="D260" t="inlineStr">
        <is>
          <t>VÄSTERBOTTENS LÄN</t>
        </is>
      </c>
      <c r="E260" t="inlineStr">
        <is>
          <t>NORSJÖ</t>
        </is>
      </c>
      <c r="G260" t="n">
        <v>4.6</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46158</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46158</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56888-2024</t>
        </is>
      </c>
      <c r="B263" s="1" t="n">
        <v>45628.57732638889</v>
      </c>
      <c r="C263" s="1" t="n">
        <v>46158</v>
      </c>
      <c r="D263" t="inlineStr">
        <is>
          <t>VÄSTERBOTTENS LÄN</t>
        </is>
      </c>
      <c r="E263" t="inlineStr">
        <is>
          <t>NORSJÖ</t>
        </is>
      </c>
      <c r="G263" t="n">
        <v>5.4</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46158</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51075-2024</t>
        </is>
      </c>
      <c r="B265" s="1" t="n">
        <v>45603</v>
      </c>
      <c r="C265" s="1" t="n">
        <v>46158</v>
      </c>
      <c r="D265" t="inlineStr">
        <is>
          <t>VÄSTERBOTTENS LÄN</t>
        </is>
      </c>
      <c r="E265" t="inlineStr">
        <is>
          <t>NORSJÖ</t>
        </is>
      </c>
      <c r="G265" t="n">
        <v>10.3</v>
      </c>
      <c r="H265" t="n">
        <v>0</v>
      </c>
      <c r="I265" t="n">
        <v>0</v>
      </c>
      <c r="J265" t="n">
        <v>0</v>
      </c>
      <c r="K265" t="n">
        <v>0</v>
      </c>
      <c r="L265" t="n">
        <v>0</v>
      </c>
      <c r="M265" t="n">
        <v>0</v>
      </c>
      <c r="N265" t="n">
        <v>0</v>
      </c>
      <c r="O265" t="n">
        <v>0</v>
      </c>
      <c r="P265" t="n">
        <v>0</v>
      </c>
      <c r="Q265" t="n">
        <v>0</v>
      </c>
      <c r="R265" s="2" t="inlineStr"/>
    </row>
    <row r="266" ht="15" customHeight="1">
      <c r="A266" t="inlineStr">
        <is>
          <t>A 35446-2025</t>
        </is>
      </c>
      <c r="B266" s="1" t="n">
        <v>45855.54017361111</v>
      </c>
      <c r="C266" s="1" t="n">
        <v>46158</v>
      </c>
      <c r="D266" t="inlineStr">
        <is>
          <t>VÄSTERBOTTENS LÄN</t>
        </is>
      </c>
      <c r="E266" t="inlineStr">
        <is>
          <t>NORSJÖ</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48611-2023</t>
        </is>
      </c>
      <c r="B267" s="1" t="n">
        <v>45202</v>
      </c>
      <c r="C267" s="1" t="n">
        <v>46158</v>
      </c>
      <c r="D267" t="inlineStr">
        <is>
          <t>VÄSTERBOTTENS LÄN</t>
        </is>
      </c>
      <c r="E267" t="inlineStr">
        <is>
          <t>NORSJÖ</t>
        </is>
      </c>
      <c r="G267" t="n">
        <v>4.1</v>
      </c>
      <c r="H267" t="n">
        <v>0</v>
      </c>
      <c r="I267" t="n">
        <v>0</v>
      </c>
      <c r="J267" t="n">
        <v>0</v>
      </c>
      <c r="K267" t="n">
        <v>0</v>
      </c>
      <c r="L267" t="n">
        <v>0</v>
      </c>
      <c r="M267" t="n">
        <v>0</v>
      </c>
      <c r="N267" t="n">
        <v>0</v>
      </c>
      <c r="O267" t="n">
        <v>0</v>
      </c>
      <c r="P267" t="n">
        <v>0</v>
      </c>
      <c r="Q267" t="n">
        <v>0</v>
      </c>
      <c r="R267" s="2" t="inlineStr"/>
    </row>
    <row r="268" ht="15" customHeight="1">
      <c r="A268" t="inlineStr">
        <is>
          <t>A 57869-2023</t>
        </is>
      </c>
      <c r="B268" s="1" t="n">
        <v>45244</v>
      </c>
      <c r="C268" s="1" t="n">
        <v>46158</v>
      </c>
      <c r="D268" t="inlineStr">
        <is>
          <t>VÄSTERBOTTENS LÄN</t>
        </is>
      </c>
      <c r="E268" t="inlineStr">
        <is>
          <t>NORSJÖ</t>
        </is>
      </c>
      <c r="G268" t="n">
        <v>2.2</v>
      </c>
      <c r="H268" t="n">
        <v>0</v>
      </c>
      <c r="I268" t="n">
        <v>0</v>
      </c>
      <c r="J268" t="n">
        <v>0</v>
      </c>
      <c r="K268" t="n">
        <v>0</v>
      </c>
      <c r="L268" t="n">
        <v>0</v>
      </c>
      <c r="M268" t="n">
        <v>0</v>
      </c>
      <c r="N268" t="n">
        <v>0</v>
      </c>
      <c r="O268" t="n">
        <v>0</v>
      </c>
      <c r="P268" t="n">
        <v>0</v>
      </c>
      <c r="Q268" t="n">
        <v>0</v>
      </c>
      <c r="R268" s="2" t="inlineStr"/>
    </row>
    <row r="269" ht="15" customHeight="1">
      <c r="A269" t="inlineStr">
        <is>
          <t>A 29524-2025</t>
        </is>
      </c>
      <c r="B269" s="1" t="n">
        <v>45825.33515046296</v>
      </c>
      <c r="C269" s="1" t="n">
        <v>46158</v>
      </c>
      <c r="D269" t="inlineStr">
        <is>
          <t>VÄSTERBOTTENS LÄN</t>
        </is>
      </c>
      <c r="E269" t="inlineStr">
        <is>
          <t>NORSJÖ</t>
        </is>
      </c>
      <c r="G269" t="n">
        <v>11.7</v>
      </c>
      <c r="H269" t="n">
        <v>0</v>
      </c>
      <c r="I269" t="n">
        <v>0</v>
      </c>
      <c r="J269" t="n">
        <v>0</v>
      </c>
      <c r="K269" t="n">
        <v>0</v>
      </c>
      <c r="L269" t="n">
        <v>0</v>
      </c>
      <c r="M269" t="n">
        <v>0</v>
      </c>
      <c r="N269" t="n">
        <v>0</v>
      </c>
      <c r="O269" t="n">
        <v>0</v>
      </c>
      <c r="P269" t="n">
        <v>0</v>
      </c>
      <c r="Q269" t="n">
        <v>0</v>
      </c>
      <c r="R269" s="2" t="inlineStr"/>
    </row>
    <row r="270" ht="15" customHeight="1">
      <c r="A270" t="inlineStr">
        <is>
          <t>A 35598-2025</t>
        </is>
      </c>
      <c r="B270" s="1" t="n">
        <v>45858.7578125</v>
      </c>
      <c r="C270" s="1" t="n">
        <v>46158</v>
      </c>
      <c r="D270" t="inlineStr">
        <is>
          <t>VÄSTERBOTTENS LÄN</t>
        </is>
      </c>
      <c r="E270" t="inlineStr">
        <is>
          <t>NORSJÖ</t>
        </is>
      </c>
      <c r="G270" t="n">
        <v>4.9</v>
      </c>
      <c r="H270" t="n">
        <v>0</v>
      </c>
      <c r="I270" t="n">
        <v>0</v>
      </c>
      <c r="J270" t="n">
        <v>0</v>
      </c>
      <c r="K270" t="n">
        <v>0</v>
      </c>
      <c r="L270" t="n">
        <v>0</v>
      </c>
      <c r="M270" t="n">
        <v>0</v>
      </c>
      <c r="N270" t="n">
        <v>0</v>
      </c>
      <c r="O270" t="n">
        <v>0</v>
      </c>
      <c r="P270" t="n">
        <v>0</v>
      </c>
      <c r="Q270" t="n">
        <v>0</v>
      </c>
      <c r="R270" s="2" t="inlineStr"/>
    </row>
    <row r="271" ht="15" customHeight="1">
      <c r="A271" t="inlineStr">
        <is>
          <t>A 20997-2024</t>
        </is>
      </c>
      <c r="B271" s="1" t="n">
        <v>45439.61412037037</v>
      </c>
      <c r="C271" s="1" t="n">
        <v>46158</v>
      </c>
      <c r="D271" t="inlineStr">
        <is>
          <t>VÄSTERBOTTENS LÄN</t>
        </is>
      </c>
      <c r="E271" t="inlineStr">
        <is>
          <t>NORSJÖ</t>
        </is>
      </c>
      <c r="F271" t="inlineStr">
        <is>
          <t>Holmen skog AB</t>
        </is>
      </c>
      <c r="G271" t="n">
        <v>6</v>
      </c>
      <c r="H271" t="n">
        <v>0</v>
      </c>
      <c r="I271" t="n">
        <v>0</v>
      </c>
      <c r="J271" t="n">
        <v>0</v>
      </c>
      <c r="K271" t="n">
        <v>0</v>
      </c>
      <c r="L271" t="n">
        <v>0</v>
      </c>
      <c r="M271" t="n">
        <v>0</v>
      </c>
      <c r="N271" t="n">
        <v>0</v>
      </c>
      <c r="O271" t="n">
        <v>0</v>
      </c>
      <c r="P271" t="n">
        <v>0</v>
      </c>
      <c r="Q271" t="n">
        <v>0</v>
      </c>
      <c r="R271" s="2" t="inlineStr"/>
    </row>
    <row r="272" ht="15" customHeight="1">
      <c r="A272" t="inlineStr">
        <is>
          <t>A 50169-2025</t>
        </is>
      </c>
      <c r="B272" s="1" t="n">
        <v>45943.59478009259</v>
      </c>
      <c r="C272" s="1" t="n">
        <v>46158</v>
      </c>
      <c r="D272" t="inlineStr">
        <is>
          <t>VÄSTERBOTTENS LÄN</t>
        </is>
      </c>
      <c r="E272" t="inlineStr">
        <is>
          <t>NORSJÖ</t>
        </is>
      </c>
      <c r="G272" t="n">
        <v>2.2</v>
      </c>
      <c r="H272" t="n">
        <v>0</v>
      </c>
      <c r="I272" t="n">
        <v>0</v>
      </c>
      <c r="J272" t="n">
        <v>0</v>
      </c>
      <c r="K272" t="n">
        <v>0</v>
      </c>
      <c r="L272" t="n">
        <v>0</v>
      </c>
      <c r="M272" t="n">
        <v>0</v>
      </c>
      <c r="N272" t="n">
        <v>0</v>
      </c>
      <c r="O272" t="n">
        <v>0</v>
      </c>
      <c r="P272" t="n">
        <v>0</v>
      </c>
      <c r="Q272" t="n">
        <v>0</v>
      </c>
      <c r="R272" s="2" t="inlineStr"/>
    </row>
    <row r="273" ht="15" customHeight="1">
      <c r="A273" t="inlineStr">
        <is>
          <t>A 15395-2023</t>
        </is>
      </c>
      <c r="B273" s="1" t="n">
        <v>45019.65273148148</v>
      </c>
      <c r="C273" s="1" t="n">
        <v>46158</v>
      </c>
      <c r="D273" t="inlineStr">
        <is>
          <t>VÄSTERBOTTENS LÄN</t>
        </is>
      </c>
      <c r="E273" t="inlineStr">
        <is>
          <t>NORSJÖ</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55264-2024</t>
        </is>
      </c>
      <c r="B274" s="1" t="n">
        <v>45620</v>
      </c>
      <c r="C274" s="1" t="n">
        <v>46158</v>
      </c>
      <c r="D274" t="inlineStr">
        <is>
          <t>VÄSTERBOTTENS LÄN</t>
        </is>
      </c>
      <c r="E274" t="inlineStr">
        <is>
          <t>NORSJÖ</t>
        </is>
      </c>
      <c r="G274" t="n">
        <v>6.5</v>
      </c>
      <c r="H274" t="n">
        <v>0</v>
      </c>
      <c r="I274" t="n">
        <v>0</v>
      </c>
      <c r="J274" t="n">
        <v>0</v>
      </c>
      <c r="K274" t="n">
        <v>0</v>
      </c>
      <c r="L274" t="n">
        <v>0</v>
      </c>
      <c r="M274" t="n">
        <v>0</v>
      </c>
      <c r="N274" t="n">
        <v>0</v>
      </c>
      <c r="O274" t="n">
        <v>0</v>
      </c>
      <c r="P274" t="n">
        <v>0</v>
      </c>
      <c r="Q274" t="n">
        <v>0</v>
      </c>
      <c r="R274" s="2" t="inlineStr"/>
    </row>
    <row r="275" ht="15" customHeight="1">
      <c r="A275" t="inlineStr">
        <is>
          <t>A 35628-2025</t>
        </is>
      </c>
      <c r="B275" s="1" t="n">
        <v>45859.44616898148</v>
      </c>
      <c r="C275" s="1" t="n">
        <v>46158</v>
      </c>
      <c r="D275" t="inlineStr">
        <is>
          <t>VÄSTERBOTTENS LÄN</t>
        </is>
      </c>
      <c r="E275" t="inlineStr">
        <is>
          <t>NORSJÖ</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45943.38590277778</v>
      </c>
      <c r="C276" s="1" t="n">
        <v>46158</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48604-2023</t>
        </is>
      </c>
      <c r="B277" s="1" t="n">
        <v>45202</v>
      </c>
      <c r="C277" s="1" t="n">
        <v>46158</v>
      </c>
      <c r="D277" t="inlineStr">
        <is>
          <t>VÄSTERBOTTENS LÄN</t>
        </is>
      </c>
      <c r="E277" t="inlineStr">
        <is>
          <t>NORSJÖ</t>
        </is>
      </c>
      <c r="G277" t="n">
        <v>2</v>
      </c>
      <c r="H277" t="n">
        <v>0</v>
      </c>
      <c r="I277" t="n">
        <v>0</v>
      </c>
      <c r="J277" t="n">
        <v>0</v>
      </c>
      <c r="K277" t="n">
        <v>0</v>
      </c>
      <c r="L277" t="n">
        <v>0</v>
      </c>
      <c r="M277" t="n">
        <v>0</v>
      </c>
      <c r="N277" t="n">
        <v>0</v>
      </c>
      <c r="O277" t="n">
        <v>0</v>
      </c>
      <c r="P277" t="n">
        <v>0</v>
      </c>
      <c r="Q277" t="n">
        <v>0</v>
      </c>
      <c r="R277" s="2" t="inlineStr"/>
    </row>
    <row r="278" ht="15" customHeight="1">
      <c r="A278" t="inlineStr">
        <is>
          <t>A 19870-2024</t>
        </is>
      </c>
      <c r="B278" s="1" t="n">
        <v>45433.45328703704</v>
      </c>
      <c r="C278" s="1" t="n">
        <v>46158</v>
      </c>
      <c r="D278" t="inlineStr">
        <is>
          <t>VÄSTERBOTTENS LÄN</t>
        </is>
      </c>
      <c r="E278" t="inlineStr">
        <is>
          <t>NORSJÖ</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63319-2023</t>
        </is>
      </c>
      <c r="B279" s="1" t="n">
        <v>45273</v>
      </c>
      <c r="C279" s="1" t="n">
        <v>46158</v>
      </c>
      <c r="D279" t="inlineStr">
        <is>
          <t>VÄSTERBOTTENS LÄN</t>
        </is>
      </c>
      <c r="E279" t="inlineStr">
        <is>
          <t>NORSJÖ</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35729-2025</t>
        </is>
      </c>
      <c r="B280" s="1" t="n">
        <v>45860.46461805556</v>
      </c>
      <c r="C280" s="1" t="n">
        <v>46158</v>
      </c>
      <c r="D280" t="inlineStr">
        <is>
          <t>VÄSTERBOTTENS LÄN</t>
        </is>
      </c>
      <c r="E280" t="inlineStr">
        <is>
          <t>NORSJÖ</t>
        </is>
      </c>
      <c r="F280" t="inlineStr">
        <is>
          <t>Sveaskog</t>
        </is>
      </c>
      <c r="G280" t="n">
        <v>6.4</v>
      </c>
      <c r="H280" t="n">
        <v>0</v>
      </c>
      <c r="I280" t="n">
        <v>0</v>
      </c>
      <c r="J280" t="n">
        <v>0</v>
      </c>
      <c r="K280" t="n">
        <v>0</v>
      </c>
      <c r="L280" t="n">
        <v>0</v>
      </c>
      <c r="M280" t="n">
        <v>0</v>
      </c>
      <c r="N280" t="n">
        <v>0</v>
      </c>
      <c r="O280" t="n">
        <v>0</v>
      </c>
      <c r="P280" t="n">
        <v>0</v>
      </c>
      <c r="Q280" t="n">
        <v>0</v>
      </c>
      <c r="R280" s="2" t="inlineStr"/>
    </row>
    <row r="281" ht="15" customHeight="1">
      <c r="A281" t="inlineStr">
        <is>
          <t>A 50029-2025</t>
        </is>
      </c>
      <c r="B281" s="1" t="n">
        <v>45943.38599537037</v>
      </c>
      <c r="C281" s="1" t="n">
        <v>46158</v>
      </c>
      <c r="D281" t="inlineStr">
        <is>
          <t>VÄSTERBOTTENS LÄN</t>
        </is>
      </c>
      <c r="E281" t="inlineStr">
        <is>
          <t>NORSJÖ</t>
        </is>
      </c>
      <c r="G281" t="n">
        <v>25.3</v>
      </c>
      <c r="H281" t="n">
        <v>0</v>
      </c>
      <c r="I281" t="n">
        <v>0</v>
      </c>
      <c r="J281" t="n">
        <v>0</v>
      </c>
      <c r="K281" t="n">
        <v>0</v>
      </c>
      <c r="L281" t="n">
        <v>0</v>
      </c>
      <c r="M281" t="n">
        <v>0</v>
      </c>
      <c r="N281" t="n">
        <v>0</v>
      </c>
      <c r="O281" t="n">
        <v>0</v>
      </c>
      <c r="P281" t="n">
        <v>0</v>
      </c>
      <c r="Q281" t="n">
        <v>0</v>
      </c>
      <c r="R281" s="2" t="inlineStr"/>
    </row>
    <row r="282" ht="15" customHeight="1">
      <c r="A282" t="inlineStr">
        <is>
          <t>A 49969-2025</t>
        </is>
      </c>
      <c r="B282" s="1" t="n">
        <v>45941.81591435185</v>
      </c>
      <c r="C282" s="1" t="n">
        <v>46158</v>
      </c>
      <c r="D282" t="inlineStr">
        <is>
          <t>VÄSTERBOTTENS LÄN</t>
        </is>
      </c>
      <c r="E282" t="inlineStr">
        <is>
          <t>NORSJÖ</t>
        </is>
      </c>
      <c r="G282" t="n">
        <v>1.1</v>
      </c>
      <c r="H282" t="n">
        <v>0</v>
      </c>
      <c r="I282" t="n">
        <v>0</v>
      </c>
      <c r="J282" t="n">
        <v>0</v>
      </c>
      <c r="K282" t="n">
        <v>0</v>
      </c>
      <c r="L282" t="n">
        <v>0</v>
      </c>
      <c r="M282" t="n">
        <v>0</v>
      </c>
      <c r="N282" t="n">
        <v>0</v>
      </c>
      <c r="O282" t="n">
        <v>0</v>
      </c>
      <c r="P282" t="n">
        <v>0</v>
      </c>
      <c r="Q282" t="n">
        <v>0</v>
      </c>
      <c r="R282" s="2" t="inlineStr"/>
    </row>
    <row r="283" ht="15" customHeight="1">
      <c r="A283" t="inlineStr">
        <is>
          <t>A 50462-2025</t>
        </is>
      </c>
      <c r="B283" s="1" t="n">
        <v>45945.34512731482</v>
      </c>
      <c r="C283" s="1" t="n">
        <v>46158</v>
      </c>
      <c r="D283" t="inlineStr">
        <is>
          <t>VÄSTERBOTTENS LÄN</t>
        </is>
      </c>
      <c r="E283" t="inlineStr">
        <is>
          <t>NORSJÖ</t>
        </is>
      </c>
      <c r="G283" t="n">
        <v>7.7</v>
      </c>
      <c r="H283" t="n">
        <v>0</v>
      </c>
      <c r="I283" t="n">
        <v>0</v>
      </c>
      <c r="J283" t="n">
        <v>0</v>
      </c>
      <c r="K283" t="n">
        <v>0</v>
      </c>
      <c r="L283" t="n">
        <v>0</v>
      </c>
      <c r="M283" t="n">
        <v>0</v>
      </c>
      <c r="N283" t="n">
        <v>0</v>
      </c>
      <c r="O283" t="n">
        <v>0</v>
      </c>
      <c r="P283" t="n">
        <v>0</v>
      </c>
      <c r="Q283" t="n">
        <v>0</v>
      </c>
      <c r="R283" s="2" t="inlineStr"/>
    </row>
    <row r="284" ht="15" customHeight="1">
      <c r="A284" t="inlineStr">
        <is>
          <t>A 38272-2023</t>
        </is>
      </c>
      <c r="B284" s="1" t="n">
        <v>45161</v>
      </c>
      <c r="C284" s="1" t="n">
        <v>46158</v>
      </c>
      <c r="D284" t="inlineStr">
        <is>
          <t>VÄSTERBOTTENS LÄN</t>
        </is>
      </c>
      <c r="E284" t="inlineStr">
        <is>
          <t>NORSJÖ</t>
        </is>
      </c>
      <c r="G284" t="n">
        <v>3.4</v>
      </c>
      <c r="H284" t="n">
        <v>0</v>
      </c>
      <c r="I284" t="n">
        <v>0</v>
      </c>
      <c r="J284" t="n">
        <v>0</v>
      </c>
      <c r="K284" t="n">
        <v>0</v>
      </c>
      <c r="L284" t="n">
        <v>0</v>
      </c>
      <c r="M284" t="n">
        <v>0</v>
      </c>
      <c r="N284" t="n">
        <v>0</v>
      </c>
      <c r="O284" t="n">
        <v>0</v>
      </c>
      <c r="P284" t="n">
        <v>0</v>
      </c>
      <c r="Q284" t="n">
        <v>0</v>
      </c>
      <c r="R284" s="2" t="inlineStr"/>
    </row>
    <row r="285" ht="15" customHeight="1">
      <c r="A285" t="inlineStr">
        <is>
          <t>A 62743-2023</t>
        </is>
      </c>
      <c r="B285" s="1" t="n">
        <v>45271.61415509259</v>
      </c>
      <c r="C285" s="1" t="n">
        <v>46158</v>
      </c>
      <c r="D285" t="inlineStr">
        <is>
          <t>VÄSTERBOTTENS LÄN</t>
        </is>
      </c>
      <c r="E285" t="inlineStr">
        <is>
          <t>NORSJÖ</t>
        </is>
      </c>
      <c r="F285" t="inlineStr">
        <is>
          <t>Holmen skog AB</t>
        </is>
      </c>
      <c r="G285" t="n">
        <v>12.2</v>
      </c>
      <c r="H285" t="n">
        <v>0</v>
      </c>
      <c r="I285" t="n">
        <v>0</v>
      </c>
      <c r="J285" t="n">
        <v>0</v>
      </c>
      <c r="K285" t="n">
        <v>0</v>
      </c>
      <c r="L285" t="n">
        <v>0</v>
      </c>
      <c r="M285" t="n">
        <v>0</v>
      </c>
      <c r="N285" t="n">
        <v>0</v>
      </c>
      <c r="O285" t="n">
        <v>0</v>
      </c>
      <c r="P285" t="n">
        <v>0</v>
      </c>
      <c r="Q285" t="n">
        <v>0</v>
      </c>
      <c r="R285" s="2" t="inlineStr"/>
    </row>
    <row r="286" ht="15" customHeight="1">
      <c r="A286" t="inlineStr">
        <is>
          <t>A 51376-2025</t>
        </is>
      </c>
      <c r="B286" s="1" t="n">
        <v>45947</v>
      </c>
      <c r="C286" s="1" t="n">
        <v>46158</v>
      </c>
      <c r="D286" t="inlineStr">
        <is>
          <t>VÄSTERBOTTENS LÄN</t>
        </is>
      </c>
      <c r="E286" t="inlineStr">
        <is>
          <t>NORSJÖ</t>
        </is>
      </c>
      <c r="G286" t="n">
        <v>0.8</v>
      </c>
      <c r="H286" t="n">
        <v>0</v>
      </c>
      <c r="I286" t="n">
        <v>0</v>
      </c>
      <c r="J286" t="n">
        <v>0</v>
      </c>
      <c r="K286" t="n">
        <v>0</v>
      </c>
      <c r="L286" t="n">
        <v>0</v>
      </c>
      <c r="M286" t="n">
        <v>0</v>
      </c>
      <c r="N286" t="n">
        <v>0</v>
      </c>
      <c r="O286" t="n">
        <v>0</v>
      </c>
      <c r="P286" t="n">
        <v>0</v>
      </c>
      <c r="Q286" t="n">
        <v>0</v>
      </c>
      <c r="R286" s="2" t="inlineStr"/>
    </row>
    <row r="287" ht="15" customHeight="1">
      <c r="A287" t="inlineStr">
        <is>
          <t>A 51127-2025</t>
        </is>
      </c>
      <c r="B287" s="1" t="n">
        <v>45947.55271990741</v>
      </c>
      <c r="C287" s="1" t="n">
        <v>46158</v>
      </c>
      <c r="D287" t="inlineStr">
        <is>
          <t>VÄSTERBOTTENS LÄN</t>
        </is>
      </c>
      <c r="E287" t="inlineStr">
        <is>
          <t>NORSJÖ</t>
        </is>
      </c>
      <c r="G287" t="n">
        <v>5.6</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45947.53201388889</v>
      </c>
      <c r="C288" s="1" t="n">
        <v>46158</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51369-2025</t>
        </is>
      </c>
      <c r="B289" s="1" t="n">
        <v>45947</v>
      </c>
      <c r="C289" s="1" t="n">
        <v>46158</v>
      </c>
      <c r="D289" t="inlineStr">
        <is>
          <t>VÄSTERBOTTENS LÄN</t>
        </is>
      </c>
      <c r="E289" t="inlineStr">
        <is>
          <t>NORSJÖ</t>
        </is>
      </c>
      <c r="G289" t="n">
        <v>3.7</v>
      </c>
      <c r="H289" t="n">
        <v>0</v>
      </c>
      <c r="I289" t="n">
        <v>0</v>
      </c>
      <c r="J289" t="n">
        <v>0</v>
      </c>
      <c r="K289" t="n">
        <v>0</v>
      </c>
      <c r="L289" t="n">
        <v>0</v>
      </c>
      <c r="M289" t="n">
        <v>0</v>
      </c>
      <c r="N289" t="n">
        <v>0</v>
      </c>
      <c r="O289" t="n">
        <v>0</v>
      </c>
      <c r="P289" t="n">
        <v>0</v>
      </c>
      <c r="Q289" t="n">
        <v>0</v>
      </c>
      <c r="R289" s="2" t="inlineStr"/>
    </row>
    <row r="290" ht="15" customHeight="1">
      <c r="A290" t="inlineStr">
        <is>
          <t>A 51159-2025</t>
        </is>
      </c>
      <c r="B290" s="1" t="n">
        <v>45947.58113425926</v>
      </c>
      <c r="C290" s="1" t="n">
        <v>46158</v>
      </c>
      <c r="D290" t="inlineStr">
        <is>
          <t>VÄSTERBOTTENS LÄN</t>
        </is>
      </c>
      <c r="E290" t="inlineStr">
        <is>
          <t>NORSJÖ</t>
        </is>
      </c>
      <c r="F290" t="inlineStr">
        <is>
          <t>Sveaskog</t>
        </is>
      </c>
      <c r="G290" t="n">
        <v>18.5</v>
      </c>
      <c r="H290" t="n">
        <v>0</v>
      </c>
      <c r="I290" t="n">
        <v>0</v>
      </c>
      <c r="J290" t="n">
        <v>0</v>
      </c>
      <c r="K290" t="n">
        <v>0</v>
      </c>
      <c r="L290" t="n">
        <v>0</v>
      </c>
      <c r="M290" t="n">
        <v>0</v>
      </c>
      <c r="N290" t="n">
        <v>0</v>
      </c>
      <c r="O290" t="n">
        <v>0</v>
      </c>
      <c r="P290" t="n">
        <v>0</v>
      </c>
      <c r="Q290" t="n">
        <v>0</v>
      </c>
      <c r="R290" s="2" t="inlineStr"/>
    </row>
    <row r="291" ht="15" customHeight="1">
      <c r="A291" t="inlineStr">
        <is>
          <t>A 51120-2025</t>
        </is>
      </c>
      <c r="B291" s="1" t="n">
        <v>45947.53204861111</v>
      </c>
      <c r="C291" s="1" t="n">
        <v>46158</v>
      </c>
      <c r="D291" t="inlineStr">
        <is>
          <t>VÄSTERBOTTENS LÄN</t>
        </is>
      </c>
      <c r="E291" t="inlineStr">
        <is>
          <t>NORSJÖ</t>
        </is>
      </c>
      <c r="G291" t="n">
        <v>18.6</v>
      </c>
      <c r="H291" t="n">
        <v>0</v>
      </c>
      <c r="I291" t="n">
        <v>0</v>
      </c>
      <c r="J291" t="n">
        <v>0</v>
      </c>
      <c r="K291" t="n">
        <v>0</v>
      </c>
      <c r="L291" t="n">
        <v>0</v>
      </c>
      <c r="M291" t="n">
        <v>0</v>
      </c>
      <c r="N291" t="n">
        <v>0</v>
      </c>
      <c r="O291" t="n">
        <v>0</v>
      </c>
      <c r="P291" t="n">
        <v>0</v>
      </c>
      <c r="Q291" t="n">
        <v>0</v>
      </c>
      <c r="R291" s="2" t="inlineStr"/>
    </row>
    <row r="292" ht="15" customHeight="1">
      <c r="A292" t="inlineStr">
        <is>
          <t>A 53442-2024</t>
        </is>
      </c>
      <c r="B292" s="1" t="n">
        <v>45614.5381712963</v>
      </c>
      <c r="C292" s="1" t="n">
        <v>46158</v>
      </c>
      <c r="D292" t="inlineStr">
        <is>
          <t>VÄSTERBOTTENS LÄN</t>
        </is>
      </c>
      <c r="E292" t="inlineStr">
        <is>
          <t>NORSJÖ</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53457-2024</t>
        </is>
      </c>
      <c r="B293" s="1" t="n">
        <v>45614.54942129629</v>
      </c>
      <c r="C293" s="1" t="n">
        <v>46158</v>
      </c>
      <c r="D293" t="inlineStr">
        <is>
          <t>VÄSTERBOTTENS LÄN</t>
        </is>
      </c>
      <c r="E293" t="inlineStr">
        <is>
          <t>NORSJÖ</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51506-2025</t>
        </is>
      </c>
      <c r="B294" s="1" t="n">
        <v>45950.64244212963</v>
      </c>
      <c r="C294" s="1" t="n">
        <v>46158</v>
      </c>
      <c r="D294" t="inlineStr">
        <is>
          <t>VÄSTERBOTTENS LÄN</t>
        </is>
      </c>
      <c r="E294" t="inlineStr">
        <is>
          <t>NORSJÖ</t>
        </is>
      </c>
      <c r="F294" t="inlineStr">
        <is>
          <t>Holmen skog AB</t>
        </is>
      </c>
      <c r="G294" t="n">
        <v>4.3</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46158</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46158</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51129-2025</t>
        </is>
      </c>
      <c r="B297" s="1" t="n">
        <v>45947.55290509259</v>
      </c>
      <c r="C297" s="1" t="n">
        <v>46158</v>
      </c>
      <c r="D297" t="inlineStr">
        <is>
          <t>VÄSTERBOTTENS LÄN</t>
        </is>
      </c>
      <c r="E297" t="inlineStr">
        <is>
          <t>NORSJÖ</t>
        </is>
      </c>
      <c r="G297" t="n">
        <v>1.3</v>
      </c>
      <c r="H297" t="n">
        <v>0</v>
      </c>
      <c r="I297" t="n">
        <v>0</v>
      </c>
      <c r="J297" t="n">
        <v>0</v>
      </c>
      <c r="K297" t="n">
        <v>0</v>
      </c>
      <c r="L297" t="n">
        <v>0</v>
      </c>
      <c r="M297" t="n">
        <v>0</v>
      </c>
      <c r="N297" t="n">
        <v>0</v>
      </c>
      <c r="O297" t="n">
        <v>0</v>
      </c>
      <c r="P297" t="n">
        <v>0</v>
      </c>
      <c r="Q297" t="n">
        <v>0</v>
      </c>
      <c r="R297" s="2" t="inlineStr"/>
    </row>
    <row r="298" ht="15" customHeight="1">
      <c r="A298" t="inlineStr">
        <is>
          <t>A 51150-2025</t>
        </is>
      </c>
      <c r="B298" s="1" t="n">
        <v>45947.57334490741</v>
      </c>
      <c r="C298" s="1" t="n">
        <v>46158</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46158</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36550-2025</t>
        </is>
      </c>
      <c r="B300" s="1" t="n">
        <v>45870.32920138889</v>
      </c>
      <c r="C300" s="1" t="n">
        <v>46158</v>
      </c>
      <c r="D300" t="inlineStr">
        <is>
          <t>VÄSTERBOTTENS LÄN</t>
        </is>
      </c>
      <c r="E300" t="inlineStr">
        <is>
          <t>NORSJÖ</t>
        </is>
      </c>
      <c r="F300" t="inlineStr">
        <is>
          <t>Sveaskog</t>
        </is>
      </c>
      <c r="G300" t="n">
        <v>8.9</v>
      </c>
      <c r="H300" t="n">
        <v>0</v>
      </c>
      <c r="I300" t="n">
        <v>0</v>
      </c>
      <c r="J300" t="n">
        <v>0</v>
      </c>
      <c r="K300" t="n">
        <v>0</v>
      </c>
      <c r="L300" t="n">
        <v>0</v>
      </c>
      <c r="M300" t="n">
        <v>0</v>
      </c>
      <c r="N300" t="n">
        <v>0</v>
      </c>
      <c r="O300" t="n">
        <v>0</v>
      </c>
      <c r="P300" t="n">
        <v>0</v>
      </c>
      <c r="Q300" t="n">
        <v>0</v>
      </c>
      <c r="R300" s="2" t="inlineStr"/>
    </row>
    <row r="301" ht="15" customHeight="1">
      <c r="A301" t="inlineStr">
        <is>
          <t>A 51126-2025</t>
        </is>
      </c>
      <c r="B301" s="1" t="n">
        <v>45947.55268518518</v>
      </c>
      <c r="C301" s="1" t="n">
        <v>46158</v>
      </c>
      <c r="D301" t="inlineStr">
        <is>
          <t>VÄSTERBOTTENS LÄN</t>
        </is>
      </c>
      <c r="E301" t="inlineStr">
        <is>
          <t>NORSJÖ</t>
        </is>
      </c>
      <c r="G301" t="n">
        <v>0.6</v>
      </c>
      <c r="H301" t="n">
        <v>0</v>
      </c>
      <c r="I301" t="n">
        <v>0</v>
      </c>
      <c r="J301" t="n">
        <v>0</v>
      </c>
      <c r="K301" t="n">
        <v>0</v>
      </c>
      <c r="L301" t="n">
        <v>0</v>
      </c>
      <c r="M301" t="n">
        <v>0</v>
      </c>
      <c r="N301" t="n">
        <v>0</v>
      </c>
      <c r="O301" t="n">
        <v>0</v>
      </c>
      <c r="P301" t="n">
        <v>0</v>
      </c>
      <c r="Q301" t="n">
        <v>0</v>
      </c>
      <c r="R301" s="2" t="inlineStr"/>
    </row>
    <row r="302" ht="15" customHeight="1">
      <c r="A302" t="inlineStr">
        <is>
          <t>A 61025-2024</t>
        </is>
      </c>
      <c r="B302" s="1" t="n">
        <v>45644</v>
      </c>
      <c r="C302" s="1" t="n">
        <v>46158</v>
      </c>
      <c r="D302" t="inlineStr">
        <is>
          <t>VÄSTERBOTTENS LÄN</t>
        </is>
      </c>
      <c r="E302" t="inlineStr">
        <is>
          <t>NORSJÖ</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36613-2025</t>
        </is>
      </c>
      <c r="B303" s="1" t="n">
        <v>45870.60596064815</v>
      </c>
      <c r="C303" s="1" t="n">
        <v>46158</v>
      </c>
      <c r="D303" t="inlineStr">
        <is>
          <t>VÄSTERBOTTENS LÄN</t>
        </is>
      </c>
      <c r="E303" t="inlineStr">
        <is>
          <t>NORSJÖ</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46158</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51891-2025</t>
        </is>
      </c>
      <c r="B305" s="1" t="n">
        <v>45952.42099537037</v>
      </c>
      <c r="C305" s="1" t="n">
        <v>46158</v>
      </c>
      <c r="D305" t="inlineStr">
        <is>
          <t>VÄSTERBOTTENS LÄN</t>
        </is>
      </c>
      <c r="E305" t="inlineStr">
        <is>
          <t>NORSJÖ</t>
        </is>
      </c>
      <c r="G305" t="n">
        <v>1.8</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46158</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23170-2024</t>
        </is>
      </c>
      <c r="B307" s="1" t="n">
        <v>45450.92833333334</v>
      </c>
      <c r="C307" s="1" t="n">
        <v>46158</v>
      </c>
      <c r="D307" t="inlineStr">
        <is>
          <t>VÄSTERBOTTENS LÄN</t>
        </is>
      </c>
      <c r="E307" t="inlineStr">
        <is>
          <t>NORSJÖ</t>
        </is>
      </c>
      <c r="G307" t="n">
        <v>0.9</v>
      </c>
      <c r="H307" t="n">
        <v>0</v>
      </c>
      <c r="I307" t="n">
        <v>0</v>
      </c>
      <c r="J307" t="n">
        <v>0</v>
      </c>
      <c r="K307" t="n">
        <v>0</v>
      </c>
      <c r="L307" t="n">
        <v>0</v>
      </c>
      <c r="M307" t="n">
        <v>0</v>
      </c>
      <c r="N307" t="n">
        <v>0</v>
      </c>
      <c r="O307" t="n">
        <v>0</v>
      </c>
      <c r="P307" t="n">
        <v>0</v>
      </c>
      <c r="Q307" t="n">
        <v>0</v>
      </c>
      <c r="R307" s="2" t="inlineStr"/>
    </row>
    <row r="308" ht="15" customHeight="1">
      <c r="A308" t="inlineStr">
        <is>
          <t>A 44214-2024</t>
        </is>
      </c>
      <c r="B308" s="1" t="n">
        <v>45573.37309027778</v>
      </c>
      <c r="C308" s="1" t="n">
        <v>46158</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51847-2025</t>
        </is>
      </c>
      <c r="B309" s="1" t="n">
        <v>45952.34993055555</v>
      </c>
      <c r="C309" s="1" t="n">
        <v>46158</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43630-2023</t>
        </is>
      </c>
      <c r="B310" s="1" t="n">
        <v>45184</v>
      </c>
      <c r="C310" s="1" t="n">
        <v>46158</v>
      </c>
      <c r="D310" t="inlineStr">
        <is>
          <t>VÄSTERBOTTENS LÄN</t>
        </is>
      </c>
      <c r="E310" t="inlineStr">
        <is>
          <t>NORSJÖ</t>
        </is>
      </c>
      <c r="G310" t="n">
        <v>3.4</v>
      </c>
      <c r="H310" t="n">
        <v>0</v>
      </c>
      <c r="I310" t="n">
        <v>0</v>
      </c>
      <c r="J310" t="n">
        <v>0</v>
      </c>
      <c r="K310" t="n">
        <v>0</v>
      </c>
      <c r="L310" t="n">
        <v>0</v>
      </c>
      <c r="M310" t="n">
        <v>0</v>
      </c>
      <c r="N310" t="n">
        <v>0</v>
      </c>
      <c r="O310" t="n">
        <v>0</v>
      </c>
      <c r="P310" t="n">
        <v>0</v>
      </c>
      <c r="Q310" t="n">
        <v>0</v>
      </c>
      <c r="R310" s="2" t="inlineStr"/>
    </row>
    <row r="311" ht="15" customHeight="1">
      <c r="A311" t="inlineStr">
        <is>
          <t>A 37498-2023</t>
        </is>
      </c>
      <c r="B311" s="1" t="n">
        <v>45157</v>
      </c>
      <c r="C311" s="1" t="n">
        <v>46158</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51905-2025</t>
        </is>
      </c>
      <c r="B312" s="1" t="n">
        <v>45952.44921296297</v>
      </c>
      <c r="C312" s="1" t="n">
        <v>46158</v>
      </c>
      <c r="D312" t="inlineStr">
        <is>
          <t>VÄSTERBOTTENS LÄN</t>
        </is>
      </c>
      <c r="E312" t="inlineStr">
        <is>
          <t>NORSJÖ</t>
        </is>
      </c>
      <c r="G312" t="n">
        <v>4.4</v>
      </c>
      <c r="H312" t="n">
        <v>0</v>
      </c>
      <c r="I312" t="n">
        <v>0</v>
      </c>
      <c r="J312" t="n">
        <v>0</v>
      </c>
      <c r="K312" t="n">
        <v>0</v>
      </c>
      <c r="L312" t="n">
        <v>0</v>
      </c>
      <c r="M312" t="n">
        <v>0</v>
      </c>
      <c r="N312" t="n">
        <v>0</v>
      </c>
      <c r="O312" t="n">
        <v>0</v>
      </c>
      <c r="P312" t="n">
        <v>0</v>
      </c>
      <c r="Q312" t="n">
        <v>0</v>
      </c>
      <c r="R312" s="2" t="inlineStr"/>
    </row>
    <row r="313" ht="15" customHeight="1">
      <c r="A313" t="inlineStr">
        <is>
          <t>A 52441-2025</t>
        </is>
      </c>
      <c r="B313" s="1" t="n">
        <v>45954.41210648148</v>
      </c>
      <c r="C313" s="1" t="n">
        <v>46158</v>
      </c>
      <c r="D313" t="inlineStr">
        <is>
          <t>VÄSTERBOTTENS LÄN</t>
        </is>
      </c>
      <c r="E313" t="inlineStr">
        <is>
          <t>NORSJÖ</t>
        </is>
      </c>
      <c r="F313" t="inlineStr">
        <is>
          <t>Holmen skog AB</t>
        </is>
      </c>
      <c r="G313" t="n">
        <v>6.6</v>
      </c>
      <c r="H313" t="n">
        <v>0</v>
      </c>
      <c r="I313" t="n">
        <v>0</v>
      </c>
      <c r="J313" t="n">
        <v>0</v>
      </c>
      <c r="K313" t="n">
        <v>0</v>
      </c>
      <c r="L313" t="n">
        <v>0</v>
      </c>
      <c r="M313" t="n">
        <v>0</v>
      </c>
      <c r="N313" t="n">
        <v>0</v>
      </c>
      <c r="O313" t="n">
        <v>0</v>
      </c>
      <c r="P313" t="n">
        <v>0</v>
      </c>
      <c r="Q313" t="n">
        <v>0</v>
      </c>
      <c r="R313" s="2" t="inlineStr"/>
    </row>
    <row r="314" ht="15" customHeight="1">
      <c r="A314" t="inlineStr">
        <is>
          <t>A 28808-2025</t>
        </is>
      </c>
      <c r="B314" s="1" t="n">
        <v>45820.51743055556</v>
      </c>
      <c r="C314" s="1" t="n">
        <v>46158</v>
      </c>
      <c r="D314" t="inlineStr">
        <is>
          <t>VÄSTERBOTTENS LÄN</t>
        </is>
      </c>
      <c r="E314" t="inlineStr">
        <is>
          <t>NORSJÖ</t>
        </is>
      </c>
      <c r="F314" t="inlineStr">
        <is>
          <t>Holmen skog AB</t>
        </is>
      </c>
      <c r="G314" t="n">
        <v>5.5</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46158</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46158</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46158</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53136-2025</t>
        </is>
      </c>
      <c r="B318" s="1" t="n">
        <v>45958.46975694445</v>
      </c>
      <c r="C318" s="1" t="n">
        <v>46158</v>
      </c>
      <c r="D318" t="inlineStr">
        <is>
          <t>VÄSTERBOTTENS LÄN</t>
        </is>
      </c>
      <c r="E318" t="inlineStr">
        <is>
          <t>NORSJÖ</t>
        </is>
      </c>
      <c r="G318" t="n">
        <v>15.8</v>
      </c>
      <c r="H318" t="n">
        <v>0</v>
      </c>
      <c r="I318" t="n">
        <v>0</v>
      </c>
      <c r="J318" t="n">
        <v>0</v>
      </c>
      <c r="K318" t="n">
        <v>0</v>
      </c>
      <c r="L318" t="n">
        <v>0</v>
      </c>
      <c r="M318" t="n">
        <v>0</v>
      </c>
      <c r="N318" t="n">
        <v>0</v>
      </c>
      <c r="O318" t="n">
        <v>0</v>
      </c>
      <c r="P318" t="n">
        <v>0</v>
      </c>
      <c r="Q318" t="n">
        <v>0</v>
      </c>
      <c r="R318" s="2" t="inlineStr"/>
    </row>
    <row r="319" ht="15" customHeight="1">
      <c r="A319" t="inlineStr">
        <is>
          <t>A 53137-2025</t>
        </is>
      </c>
      <c r="B319" s="1" t="n">
        <v>45958.46978009259</v>
      </c>
      <c r="C319" s="1" t="n">
        <v>46158</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53010-2025</t>
        </is>
      </c>
      <c r="B320" s="1" t="n">
        <v>45957</v>
      </c>
      <c r="C320" s="1" t="n">
        <v>46158</v>
      </c>
      <c r="D320" t="inlineStr">
        <is>
          <t>VÄSTERBOTTENS LÄN</t>
        </is>
      </c>
      <c r="E320" t="inlineStr">
        <is>
          <t>NORSJÖ</t>
        </is>
      </c>
      <c r="G320" t="n">
        <v>41.8</v>
      </c>
      <c r="H320" t="n">
        <v>0</v>
      </c>
      <c r="I320" t="n">
        <v>0</v>
      </c>
      <c r="J320" t="n">
        <v>0</v>
      </c>
      <c r="K320" t="n">
        <v>0</v>
      </c>
      <c r="L320" t="n">
        <v>0</v>
      </c>
      <c r="M320" t="n">
        <v>0</v>
      </c>
      <c r="N320" t="n">
        <v>0</v>
      </c>
      <c r="O320" t="n">
        <v>0</v>
      </c>
      <c r="P320" t="n">
        <v>0</v>
      </c>
      <c r="Q320" t="n">
        <v>0</v>
      </c>
      <c r="R320" s="2" t="inlineStr"/>
    </row>
    <row r="321" ht="15" customHeight="1">
      <c r="A321" t="inlineStr">
        <is>
          <t>A 52722-2025</t>
        </is>
      </c>
      <c r="B321" s="1" t="n">
        <v>45957.3443287037</v>
      </c>
      <c r="C321" s="1" t="n">
        <v>46158</v>
      </c>
      <c r="D321" t="inlineStr">
        <is>
          <t>VÄSTERBOTTENS LÄN</t>
        </is>
      </c>
      <c r="E321" t="inlineStr">
        <is>
          <t>NORSJÖ</t>
        </is>
      </c>
      <c r="G321" t="n">
        <v>7.2</v>
      </c>
      <c r="H321" t="n">
        <v>0</v>
      </c>
      <c r="I321" t="n">
        <v>0</v>
      </c>
      <c r="J321" t="n">
        <v>0</v>
      </c>
      <c r="K321" t="n">
        <v>0</v>
      </c>
      <c r="L321" t="n">
        <v>0</v>
      </c>
      <c r="M321" t="n">
        <v>0</v>
      </c>
      <c r="N321" t="n">
        <v>0</v>
      </c>
      <c r="O321" t="n">
        <v>0</v>
      </c>
      <c r="P321" t="n">
        <v>0</v>
      </c>
      <c r="Q321" t="n">
        <v>0</v>
      </c>
      <c r="R321" s="2" t="inlineStr"/>
    </row>
    <row r="322" ht="15" customHeight="1">
      <c r="A322" t="inlineStr">
        <is>
          <t>A 40493-2023</t>
        </is>
      </c>
      <c r="B322" s="1" t="n">
        <v>45170</v>
      </c>
      <c r="C322" s="1" t="n">
        <v>46158</v>
      </c>
      <c r="D322" t="inlineStr">
        <is>
          <t>VÄSTERBOTTENS LÄN</t>
        </is>
      </c>
      <c r="E322" t="inlineStr">
        <is>
          <t>NORSJÖ</t>
        </is>
      </c>
      <c r="G322" t="n">
        <v>4.9</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46158</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37421-2025</t>
        </is>
      </c>
      <c r="B324" s="1" t="n">
        <v>45877.48462962963</v>
      </c>
      <c r="C324" s="1" t="n">
        <v>46158</v>
      </c>
      <c r="D324" t="inlineStr">
        <is>
          <t>VÄSTERBOTTENS LÄN</t>
        </is>
      </c>
      <c r="E324" t="inlineStr">
        <is>
          <t>NORSJÖ</t>
        </is>
      </c>
      <c r="F324" t="inlineStr">
        <is>
          <t>Holmen skog AB</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41100-2023</t>
        </is>
      </c>
      <c r="B325" s="1" t="n">
        <v>45173.69394675926</v>
      </c>
      <c r="C325" s="1" t="n">
        <v>46158</v>
      </c>
      <c r="D325" t="inlineStr">
        <is>
          <t>VÄSTERBOTTENS LÄN</t>
        </is>
      </c>
      <c r="E325" t="inlineStr">
        <is>
          <t>NORSJÖ</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30023-2024</t>
        </is>
      </c>
      <c r="B326" s="1" t="n">
        <v>45485</v>
      </c>
      <c r="C326" s="1" t="n">
        <v>46158</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37469-2025</t>
        </is>
      </c>
      <c r="B327" s="1" t="n">
        <v>45877.57869212963</v>
      </c>
      <c r="C327" s="1" t="n">
        <v>46158</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470-2023</t>
        </is>
      </c>
      <c r="B328" s="1" t="n">
        <v>44929.92520833333</v>
      </c>
      <c r="C328" s="1" t="n">
        <v>46158</v>
      </c>
      <c r="D328" t="inlineStr">
        <is>
          <t>VÄSTERBOTTENS LÄN</t>
        </is>
      </c>
      <c r="E328" t="inlineStr">
        <is>
          <t>NORSJÖ</t>
        </is>
      </c>
      <c r="G328" t="n">
        <v>0.5</v>
      </c>
      <c r="H328" t="n">
        <v>0</v>
      </c>
      <c r="I328" t="n">
        <v>0</v>
      </c>
      <c r="J328" t="n">
        <v>0</v>
      </c>
      <c r="K328" t="n">
        <v>0</v>
      </c>
      <c r="L328" t="n">
        <v>0</v>
      </c>
      <c r="M328" t="n">
        <v>0</v>
      </c>
      <c r="N328" t="n">
        <v>0</v>
      </c>
      <c r="O328" t="n">
        <v>0</v>
      </c>
      <c r="P328" t="n">
        <v>0</v>
      </c>
      <c r="Q328" t="n">
        <v>0</v>
      </c>
      <c r="R328" s="2" t="inlineStr"/>
    </row>
    <row r="329" ht="15" customHeight="1">
      <c r="A329" t="inlineStr">
        <is>
          <t>A 38200-2025</t>
        </is>
      </c>
      <c r="B329" s="1" t="n">
        <v>45882.67741898148</v>
      </c>
      <c r="C329" s="1" t="n">
        <v>46158</v>
      </c>
      <c r="D329" t="inlineStr">
        <is>
          <t>VÄSTERBOTTENS LÄN</t>
        </is>
      </c>
      <c r="E329" t="inlineStr">
        <is>
          <t>NORSJÖ</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39353-2023</t>
        </is>
      </c>
      <c r="B330" s="1" t="n">
        <v>45166</v>
      </c>
      <c r="C330" s="1" t="n">
        <v>46158</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7666-2026</t>
        </is>
      </c>
      <c r="B331" s="1" t="n">
        <v>46062.40667824074</v>
      </c>
      <c r="C331" s="1" t="n">
        <v>46158</v>
      </c>
      <c r="D331" t="inlineStr">
        <is>
          <t>VÄSTERBOTTENS LÄN</t>
        </is>
      </c>
      <c r="E331" t="inlineStr">
        <is>
          <t>NORSJÖ</t>
        </is>
      </c>
      <c r="G331" t="n">
        <v>2.4</v>
      </c>
      <c r="H331" t="n">
        <v>0</v>
      </c>
      <c r="I331" t="n">
        <v>0</v>
      </c>
      <c r="J331" t="n">
        <v>0</v>
      </c>
      <c r="K331" t="n">
        <v>0</v>
      </c>
      <c r="L331" t="n">
        <v>0</v>
      </c>
      <c r="M331" t="n">
        <v>0</v>
      </c>
      <c r="N331" t="n">
        <v>0</v>
      </c>
      <c r="O331" t="n">
        <v>0</v>
      </c>
      <c r="P331" t="n">
        <v>0</v>
      </c>
      <c r="Q331" t="n">
        <v>0</v>
      </c>
      <c r="R331" s="2" t="inlineStr"/>
    </row>
    <row r="332" ht="15" customHeight="1">
      <c r="A332" t="inlineStr">
        <is>
          <t>A 53500-2025</t>
        </is>
      </c>
      <c r="B332" s="1" t="n">
        <v>45960.33998842593</v>
      </c>
      <c r="C332" s="1" t="n">
        <v>46158</v>
      </c>
      <c r="D332" t="inlineStr">
        <is>
          <t>VÄSTERBOTTENS LÄN</t>
        </is>
      </c>
      <c r="E332" t="inlineStr">
        <is>
          <t>NORSJÖ</t>
        </is>
      </c>
      <c r="F332" t="inlineStr">
        <is>
          <t>Sveaskog</t>
        </is>
      </c>
      <c r="G332" t="n">
        <v>9</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46158</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14742-2025</t>
        </is>
      </c>
      <c r="B334" s="1" t="n">
        <v>45742</v>
      </c>
      <c r="C334" s="1" t="n">
        <v>46158</v>
      </c>
      <c r="D334" t="inlineStr">
        <is>
          <t>VÄSTERBOTTENS LÄN</t>
        </is>
      </c>
      <c r="E334" t="inlineStr">
        <is>
          <t>NORSJÖ</t>
        </is>
      </c>
      <c r="G334" t="n">
        <v>1.3</v>
      </c>
      <c r="H334" t="n">
        <v>0</v>
      </c>
      <c r="I334" t="n">
        <v>0</v>
      </c>
      <c r="J334" t="n">
        <v>0</v>
      </c>
      <c r="K334" t="n">
        <v>0</v>
      </c>
      <c r="L334" t="n">
        <v>0</v>
      </c>
      <c r="M334" t="n">
        <v>0</v>
      </c>
      <c r="N334" t="n">
        <v>0</v>
      </c>
      <c r="O334" t="n">
        <v>0</v>
      </c>
      <c r="P334" t="n">
        <v>0</v>
      </c>
      <c r="Q334" t="n">
        <v>0</v>
      </c>
      <c r="R334" s="2" t="inlineStr"/>
    </row>
    <row r="335" ht="15" customHeight="1">
      <c r="A335" t="inlineStr">
        <is>
          <t>A 38182-2025</t>
        </is>
      </c>
      <c r="B335" s="1" t="n">
        <v>45882.64671296296</v>
      </c>
      <c r="C335" s="1" t="n">
        <v>46158</v>
      </c>
      <c r="D335" t="inlineStr">
        <is>
          <t>VÄSTERBOTTENS LÄN</t>
        </is>
      </c>
      <c r="E335" t="inlineStr">
        <is>
          <t>NORSJÖ</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16660-2025</t>
        </is>
      </c>
      <c r="B336" s="1" t="n">
        <v>45754.4134837963</v>
      </c>
      <c r="C336" s="1" t="n">
        <v>46158</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37916-2025</t>
        </is>
      </c>
      <c r="B337" s="1" t="n">
        <v>45881.57440972222</v>
      </c>
      <c r="C337" s="1" t="n">
        <v>46158</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54751-2025</t>
        </is>
      </c>
      <c r="B338" s="1" t="n">
        <v>45966</v>
      </c>
      <c r="C338" s="1" t="n">
        <v>46158</v>
      </c>
      <c r="D338" t="inlineStr">
        <is>
          <t>VÄSTERBOTTENS LÄN</t>
        </is>
      </c>
      <c r="E338" t="inlineStr">
        <is>
          <t>NORSJÖ</t>
        </is>
      </c>
      <c r="G338" t="n">
        <v>7.6</v>
      </c>
      <c r="H338" t="n">
        <v>0</v>
      </c>
      <c r="I338" t="n">
        <v>0</v>
      </c>
      <c r="J338" t="n">
        <v>0</v>
      </c>
      <c r="K338" t="n">
        <v>0</v>
      </c>
      <c r="L338" t="n">
        <v>0</v>
      </c>
      <c r="M338" t="n">
        <v>0</v>
      </c>
      <c r="N338" t="n">
        <v>0</v>
      </c>
      <c r="O338" t="n">
        <v>0</v>
      </c>
      <c r="P338" t="n">
        <v>0</v>
      </c>
      <c r="Q338" t="n">
        <v>0</v>
      </c>
      <c r="R338" s="2" t="inlineStr"/>
    </row>
    <row r="339" ht="15" customHeight="1">
      <c r="A339" t="inlineStr">
        <is>
          <t>A 15807-2025</t>
        </is>
      </c>
      <c r="B339" s="1" t="n">
        <v>45748.65944444444</v>
      </c>
      <c r="C339" s="1" t="n">
        <v>46158</v>
      </c>
      <c r="D339" t="inlineStr">
        <is>
          <t>VÄSTERBOTTENS LÄN</t>
        </is>
      </c>
      <c r="E339" t="inlineStr">
        <is>
          <t>NORSJÖ</t>
        </is>
      </c>
      <c r="G339" t="n">
        <v>3.9</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46158</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54326-2025</t>
        </is>
      </c>
      <c r="B341" s="1" t="n">
        <v>45965.34479166667</v>
      </c>
      <c r="C341" s="1" t="n">
        <v>46158</v>
      </c>
      <c r="D341" t="inlineStr">
        <is>
          <t>VÄSTERBOTTENS LÄN</t>
        </is>
      </c>
      <c r="E341" t="inlineStr">
        <is>
          <t>NORSJÖ</t>
        </is>
      </c>
      <c r="G341" t="n">
        <v>4</v>
      </c>
      <c r="H341" t="n">
        <v>0</v>
      </c>
      <c r="I341" t="n">
        <v>0</v>
      </c>
      <c r="J341" t="n">
        <v>0</v>
      </c>
      <c r="K341" t="n">
        <v>0</v>
      </c>
      <c r="L341" t="n">
        <v>0</v>
      </c>
      <c r="M341" t="n">
        <v>0</v>
      </c>
      <c r="N341" t="n">
        <v>0</v>
      </c>
      <c r="O341" t="n">
        <v>0</v>
      </c>
      <c r="P341" t="n">
        <v>0</v>
      </c>
      <c r="Q341" t="n">
        <v>0</v>
      </c>
      <c r="R341" s="2" t="inlineStr"/>
    </row>
    <row r="342" ht="15" customHeight="1">
      <c r="A342" t="inlineStr">
        <is>
          <t>A 54786-2025</t>
        </is>
      </c>
      <c r="B342" s="1" t="n">
        <v>45966</v>
      </c>
      <c r="C342" s="1" t="n">
        <v>46158</v>
      </c>
      <c r="D342" t="inlineStr">
        <is>
          <t>VÄSTERBOTTENS LÄN</t>
        </is>
      </c>
      <c r="E342" t="inlineStr">
        <is>
          <t>NORSJÖ</t>
        </is>
      </c>
      <c r="G342" t="n">
        <v>5.9</v>
      </c>
      <c r="H342" t="n">
        <v>0</v>
      </c>
      <c r="I342" t="n">
        <v>0</v>
      </c>
      <c r="J342" t="n">
        <v>0</v>
      </c>
      <c r="K342" t="n">
        <v>0</v>
      </c>
      <c r="L342" t="n">
        <v>0</v>
      </c>
      <c r="M342" t="n">
        <v>0</v>
      </c>
      <c r="N342" t="n">
        <v>0</v>
      </c>
      <c r="O342" t="n">
        <v>0</v>
      </c>
      <c r="P342" t="n">
        <v>0</v>
      </c>
      <c r="Q342" t="n">
        <v>0</v>
      </c>
      <c r="R342" s="2" t="inlineStr"/>
    </row>
    <row r="343" ht="15" customHeight="1">
      <c r="A343" t="inlineStr">
        <is>
          <t>A 54792-2025</t>
        </is>
      </c>
      <c r="B343" s="1" t="n">
        <v>45966.63467592592</v>
      </c>
      <c r="C343" s="1" t="n">
        <v>46158</v>
      </c>
      <c r="D343" t="inlineStr">
        <is>
          <t>VÄSTERBOTTENS LÄN</t>
        </is>
      </c>
      <c r="E343" t="inlineStr">
        <is>
          <t>NORSJÖ</t>
        </is>
      </c>
      <c r="G343" t="n">
        <v>4.5</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46158</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46158</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54745-2025</t>
        </is>
      </c>
      <c r="B346" s="1" t="n">
        <v>45966</v>
      </c>
      <c r="C346" s="1" t="n">
        <v>46158</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54748-2025</t>
        </is>
      </c>
      <c r="B347" s="1" t="n">
        <v>45966</v>
      </c>
      <c r="C347" s="1" t="n">
        <v>46158</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54756-2025</t>
        </is>
      </c>
      <c r="B348" s="1" t="n">
        <v>45966</v>
      </c>
      <c r="C348" s="1" t="n">
        <v>46158</v>
      </c>
      <c r="D348" t="inlineStr">
        <is>
          <t>VÄSTERBOTTENS LÄN</t>
        </is>
      </c>
      <c r="E348" t="inlineStr">
        <is>
          <t>NORSJÖ</t>
        </is>
      </c>
      <c r="G348" t="n">
        <v>17.5</v>
      </c>
      <c r="H348" t="n">
        <v>0</v>
      </c>
      <c r="I348" t="n">
        <v>0</v>
      </c>
      <c r="J348" t="n">
        <v>0</v>
      </c>
      <c r="K348" t="n">
        <v>0</v>
      </c>
      <c r="L348" t="n">
        <v>0</v>
      </c>
      <c r="M348" t="n">
        <v>0</v>
      </c>
      <c r="N348" t="n">
        <v>0</v>
      </c>
      <c r="O348" t="n">
        <v>0</v>
      </c>
      <c r="P348" t="n">
        <v>0</v>
      </c>
      <c r="Q348" t="n">
        <v>0</v>
      </c>
      <c r="R348" s="2" t="inlineStr"/>
    </row>
    <row r="349" ht="15" customHeight="1">
      <c r="A349" t="inlineStr">
        <is>
          <t>A 29714-2024</t>
        </is>
      </c>
      <c r="B349" s="1" t="n">
        <v>45485.35091435185</v>
      </c>
      <c r="C349" s="1" t="n">
        <v>46158</v>
      </c>
      <c r="D349" t="inlineStr">
        <is>
          <t>VÄSTERBOTTENS LÄN</t>
        </is>
      </c>
      <c r="E349" t="inlineStr">
        <is>
          <t>NORSJÖ</t>
        </is>
      </c>
      <c r="G349" t="n">
        <v>1.5</v>
      </c>
      <c r="H349" t="n">
        <v>0</v>
      </c>
      <c r="I349" t="n">
        <v>0</v>
      </c>
      <c r="J349" t="n">
        <v>0</v>
      </c>
      <c r="K349" t="n">
        <v>0</v>
      </c>
      <c r="L349" t="n">
        <v>0</v>
      </c>
      <c r="M349" t="n">
        <v>0</v>
      </c>
      <c r="N349" t="n">
        <v>0</v>
      </c>
      <c r="O349" t="n">
        <v>0</v>
      </c>
      <c r="P349" t="n">
        <v>0</v>
      </c>
      <c r="Q349" t="n">
        <v>0</v>
      </c>
      <c r="R349" s="2" t="inlineStr"/>
    </row>
    <row r="350" ht="15" customHeight="1">
      <c r="A350" t="inlineStr">
        <is>
          <t>A 56090-2023</t>
        </is>
      </c>
      <c r="B350" s="1" t="n">
        <v>45240</v>
      </c>
      <c r="C350" s="1" t="n">
        <v>46158</v>
      </c>
      <c r="D350" t="inlineStr">
        <is>
          <t>VÄSTERBOTTENS LÄN</t>
        </is>
      </c>
      <c r="E350" t="inlineStr">
        <is>
          <t>NORSJÖ</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46158</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55390-2025</t>
        </is>
      </c>
      <c r="B352" s="1" t="n">
        <v>45971.44827546296</v>
      </c>
      <c r="C352" s="1" t="n">
        <v>46158</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55487-2025</t>
        </is>
      </c>
      <c r="B353" s="1" t="n">
        <v>45971.57378472222</v>
      </c>
      <c r="C353" s="1" t="n">
        <v>46158</v>
      </c>
      <c r="D353" t="inlineStr">
        <is>
          <t>VÄSTERBOTTENS LÄN</t>
        </is>
      </c>
      <c r="E353" t="inlineStr">
        <is>
          <t>NORSJÖ</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10112-2025</t>
        </is>
      </c>
      <c r="B354" s="1" t="n">
        <v>45719</v>
      </c>
      <c r="C354" s="1" t="n">
        <v>46158</v>
      </c>
      <c r="D354" t="inlineStr">
        <is>
          <t>VÄSTERBOTTENS LÄN</t>
        </is>
      </c>
      <c r="E354" t="inlineStr">
        <is>
          <t>NORSJÖ</t>
        </is>
      </c>
      <c r="G354" t="n">
        <v>0.8</v>
      </c>
      <c r="H354" t="n">
        <v>0</v>
      </c>
      <c r="I354" t="n">
        <v>0</v>
      </c>
      <c r="J354" t="n">
        <v>0</v>
      </c>
      <c r="K354" t="n">
        <v>0</v>
      </c>
      <c r="L354" t="n">
        <v>0</v>
      </c>
      <c r="M354" t="n">
        <v>0</v>
      </c>
      <c r="N354" t="n">
        <v>0</v>
      </c>
      <c r="O354" t="n">
        <v>0</v>
      </c>
      <c r="P354" t="n">
        <v>0</v>
      </c>
      <c r="Q354" t="n">
        <v>0</v>
      </c>
      <c r="R354" s="2" t="inlineStr"/>
    </row>
    <row r="355" ht="15" customHeight="1">
      <c r="A355" t="inlineStr">
        <is>
          <t>A 12445-2025</t>
        </is>
      </c>
      <c r="B355" s="1" t="n">
        <v>45730.48341435185</v>
      </c>
      <c r="C355" s="1" t="n">
        <v>46158</v>
      </c>
      <c r="D355" t="inlineStr">
        <is>
          <t>VÄSTERBOTTENS LÄN</t>
        </is>
      </c>
      <c r="E355" t="inlineStr">
        <is>
          <t>NORSJÖ</t>
        </is>
      </c>
      <c r="G355" t="n">
        <v>1.2</v>
      </c>
      <c r="H355" t="n">
        <v>0</v>
      </c>
      <c r="I355" t="n">
        <v>0</v>
      </c>
      <c r="J355" t="n">
        <v>0</v>
      </c>
      <c r="K355" t="n">
        <v>0</v>
      </c>
      <c r="L355" t="n">
        <v>0</v>
      </c>
      <c r="M355" t="n">
        <v>0</v>
      </c>
      <c r="N355" t="n">
        <v>0</v>
      </c>
      <c r="O355" t="n">
        <v>0</v>
      </c>
      <c r="P355" t="n">
        <v>0</v>
      </c>
      <c r="Q355" t="n">
        <v>0</v>
      </c>
      <c r="R355" s="2" t="inlineStr"/>
    </row>
    <row r="356" ht="15" customHeight="1">
      <c r="A356" t="inlineStr">
        <is>
          <t>A 55986-2025</t>
        </is>
      </c>
      <c r="B356" s="1" t="n">
        <v>45973.5503587963</v>
      </c>
      <c r="C356" s="1" t="n">
        <v>46158</v>
      </c>
      <c r="D356" t="inlineStr">
        <is>
          <t>VÄSTERBOTTENS LÄN</t>
        </is>
      </c>
      <c r="E356" t="inlineStr">
        <is>
          <t>NORSJÖ</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46158</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46158</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14983-2025</t>
        </is>
      </c>
      <c r="B359" s="1" t="n">
        <v>45743</v>
      </c>
      <c r="C359" s="1" t="n">
        <v>46158</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55983-2025</t>
        </is>
      </c>
      <c r="B360" s="1" t="n">
        <v>45973.54331018519</v>
      </c>
      <c r="C360" s="1" t="n">
        <v>46158</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53557-2021</t>
        </is>
      </c>
      <c r="B361" s="1" t="n">
        <v>44468</v>
      </c>
      <c r="C361" s="1" t="n">
        <v>46158</v>
      </c>
      <c r="D361" t="inlineStr">
        <is>
          <t>VÄSTERBOTTENS LÄN</t>
        </is>
      </c>
      <c r="E361" t="inlineStr">
        <is>
          <t>NORSJÖ</t>
        </is>
      </c>
      <c r="F361" t="inlineStr">
        <is>
          <t>Övriga Aktiebolag</t>
        </is>
      </c>
      <c r="G361" t="n">
        <v>2.6</v>
      </c>
      <c r="H361" t="n">
        <v>0</v>
      </c>
      <c r="I361" t="n">
        <v>0</v>
      </c>
      <c r="J361" t="n">
        <v>0</v>
      </c>
      <c r="K361" t="n">
        <v>0</v>
      </c>
      <c r="L361" t="n">
        <v>0</v>
      </c>
      <c r="M361" t="n">
        <v>0</v>
      </c>
      <c r="N361" t="n">
        <v>0</v>
      </c>
      <c r="O361" t="n">
        <v>0</v>
      </c>
      <c r="P361" t="n">
        <v>0</v>
      </c>
      <c r="Q361" t="n">
        <v>0</v>
      </c>
      <c r="R361" s="2" t="inlineStr"/>
    </row>
    <row r="362" ht="15" customHeight="1">
      <c r="A362" t="inlineStr">
        <is>
          <t>A 59814-2023</t>
        </is>
      </c>
      <c r="B362" s="1" t="n">
        <v>45257.50859953704</v>
      </c>
      <c r="C362" s="1" t="n">
        <v>46158</v>
      </c>
      <c r="D362" t="inlineStr">
        <is>
          <t>VÄSTERBOTTENS LÄN</t>
        </is>
      </c>
      <c r="E362" t="inlineStr">
        <is>
          <t>NORSJÖ</t>
        </is>
      </c>
      <c r="G362" t="n">
        <v>28.6</v>
      </c>
      <c r="H362" t="n">
        <v>0</v>
      </c>
      <c r="I362" t="n">
        <v>0</v>
      </c>
      <c r="J362" t="n">
        <v>0</v>
      </c>
      <c r="K362" t="n">
        <v>0</v>
      </c>
      <c r="L362" t="n">
        <v>0</v>
      </c>
      <c r="M362" t="n">
        <v>0</v>
      </c>
      <c r="N362" t="n">
        <v>0</v>
      </c>
      <c r="O362" t="n">
        <v>0</v>
      </c>
      <c r="P362" t="n">
        <v>0</v>
      </c>
      <c r="Q362" t="n">
        <v>0</v>
      </c>
      <c r="R362" s="2" t="inlineStr"/>
    </row>
    <row r="363" ht="15" customHeight="1">
      <c r="A363" t="inlineStr">
        <is>
          <t>A 51000-2022</t>
        </is>
      </c>
      <c r="B363" s="1" t="n">
        <v>44867</v>
      </c>
      <c r="C363" s="1" t="n">
        <v>46158</v>
      </c>
      <c r="D363" t="inlineStr">
        <is>
          <t>VÄSTERBOTTENS LÄN</t>
        </is>
      </c>
      <c r="E363" t="inlineStr">
        <is>
          <t>NORSJÖ</t>
        </is>
      </c>
      <c r="G363" t="n">
        <v>4</v>
      </c>
      <c r="H363" t="n">
        <v>0</v>
      </c>
      <c r="I363" t="n">
        <v>0</v>
      </c>
      <c r="J363" t="n">
        <v>0</v>
      </c>
      <c r="K363" t="n">
        <v>0</v>
      </c>
      <c r="L363" t="n">
        <v>0</v>
      </c>
      <c r="M363" t="n">
        <v>0</v>
      </c>
      <c r="N363" t="n">
        <v>0</v>
      </c>
      <c r="O363" t="n">
        <v>0</v>
      </c>
      <c r="P363" t="n">
        <v>0</v>
      </c>
      <c r="Q363" t="n">
        <v>0</v>
      </c>
      <c r="R363" s="2" t="inlineStr"/>
    </row>
    <row r="364" ht="15" customHeight="1">
      <c r="A364" t="inlineStr">
        <is>
          <t>A 11747-2025</t>
        </is>
      </c>
      <c r="B364" s="1" t="n">
        <v>45727.6358912037</v>
      </c>
      <c r="C364" s="1" t="n">
        <v>46158</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41390-2023</t>
        </is>
      </c>
      <c r="B365" s="1" t="n">
        <v>45174.92260416667</v>
      </c>
      <c r="C365" s="1" t="n">
        <v>46158</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13725-2025</t>
        </is>
      </c>
      <c r="B366" s="1" t="n">
        <v>45737.37833333333</v>
      </c>
      <c r="C366" s="1" t="n">
        <v>46158</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46776-2021</t>
        </is>
      </c>
      <c r="B367" s="1" t="n">
        <v>44445.92101851852</v>
      </c>
      <c r="C367" s="1" t="n">
        <v>46158</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57562-2025</t>
        </is>
      </c>
      <c r="B368" s="1" t="n">
        <v>45980.69892361111</v>
      </c>
      <c r="C368" s="1" t="n">
        <v>46158</v>
      </c>
      <c r="D368" t="inlineStr">
        <is>
          <t>VÄSTERBOTTENS LÄN</t>
        </is>
      </c>
      <c r="E368" t="inlineStr">
        <is>
          <t>NORSJÖ</t>
        </is>
      </c>
      <c r="G368" t="n">
        <v>12.4</v>
      </c>
      <c r="H368" t="n">
        <v>0</v>
      </c>
      <c r="I368" t="n">
        <v>0</v>
      </c>
      <c r="J368" t="n">
        <v>0</v>
      </c>
      <c r="K368" t="n">
        <v>0</v>
      </c>
      <c r="L368" t="n">
        <v>0</v>
      </c>
      <c r="M368" t="n">
        <v>0</v>
      </c>
      <c r="N368" t="n">
        <v>0</v>
      </c>
      <c r="O368" t="n">
        <v>0</v>
      </c>
      <c r="P368" t="n">
        <v>0</v>
      </c>
      <c r="Q368" t="n">
        <v>0</v>
      </c>
      <c r="R368" s="2" t="inlineStr"/>
    </row>
    <row r="369" ht="15" customHeight="1">
      <c r="A369" t="inlineStr">
        <is>
          <t>A 57060-2025</t>
        </is>
      </c>
      <c r="B369" s="1" t="n">
        <v>45979.36954861111</v>
      </c>
      <c r="C369" s="1" t="n">
        <v>46158</v>
      </c>
      <c r="D369" t="inlineStr">
        <is>
          <t>VÄSTERBOTTENS LÄN</t>
        </is>
      </c>
      <c r="E369" t="inlineStr">
        <is>
          <t>NORSJÖ</t>
        </is>
      </c>
      <c r="G369" t="n">
        <v>1.9</v>
      </c>
      <c r="H369" t="n">
        <v>0</v>
      </c>
      <c r="I369" t="n">
        <v>0</v>
      </c>
      <c r="J369" t="n">
        <v>0</v>
      </c>
      <c r="K369" t="n">
        <v>0</v>
      </c>
      <c r="L369" t="n">
        <v>0</v>
      </c>
      <c r="M369" t="n">
        <v>0</v>
      </c>
      <c r="N369" t="n">
        <v>0</v>
      </c>
      <c r="O369" t="n">
        <v>0</v>
      </c>
      <c r="P369" t="n">
        <v>0</v>
      </c>
      <c r="Q369" t="n">
        <v>0</v>
      </c>
      <c r="R369" s="2" t="inlineStr"/>
    </row>
    <row r="370" ht="15" customHeight="1">
      <c r="A370" t="inlineStr">
        <is>
          <t>A 57539-2025</t>
        </is>
      </c>
      <c r="B370" s="1" t="n">
        <v>45980.64873842592</v>
      </c>
      <c r="C370" s="1" t="n">
        <v>46158</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46158</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46158</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57629-2025</t>
        </is>
      </c>
      <c r="B373" s="1" t="n">
        <v>45981.34599537037</v>
      </c>
      <c r="C373" s="1" t="n">
        <v>46158</v>
      </c>
      <c r="D373" t="inlineStr">
        <is>
          <t>VÄSTERBOTTENS LÄN</t>
        </is>
      </c>
      <c r="E373" t="inlineStr">
        <is>
          <t>NORSJÖ</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17305-2026</t>
        </is>
      </c>
      <c r="B374" s="1" t="n">
        <v>46119.57561342593</v>
      </c>
      <c r="C374" s="1" t="n">
        <v>46158</v>
      </c>
      <c r="D374" t="inlineStr">
        <is>
          <t>VÄSTERBOTTENS LÄN</t>
        </is>
      </c>
      <c r="E374" t="inlineStr">
        <is>
          <t>NORSJÖ</t>
        </is>
      </c>
      <c r="F374" t="inlineStr">
        <is>
          <t>Holmen skog AB</t>
        </is>
      </c>
      <c r="G374" t="n">
        <v>7.5</v>
      </c>
      <c r="H374" t="n">
        <v>0</v>
      </c>
      <c r="I374" t="n">
        <v>0</v>
      </c>
      <c r="J374" t="n">
        <v>0</v>
      </c>
      <c r="K374" t="n">
        <v>0</v>
      </c>
      <c r="L374" t="n">
        <v>0</v>
      </c>
      <c r="M374" t="n">
        <v>0</v>
      </c>
      <c r="N374" t="n">
        <v>0</v>
      </c>
      <c r="O374" t="n">
        <v>0</v>
      </c>
      <c r="P374" t="n">
        <v>0</v>
      </c>
      <c r="Q374" t="n">
        <v>0</v>
      </c>
      <c r="R374" s="2" t="inlineStr"/>
    </row>
    <row r="375" ht="15" customHeight="1">
      <c r="A375" t="inlineStr">
        <is>
          <t>A 58586-2025</t>
        </is>
      </c>
      <c r="B375" s="1" t="n">
        <v>45986.39921296296</v>
      </c>
      <c r="C375" s="1" t="n">
        <v>46158</v>
      </c>
      <c r="D375" t="inlineStr">
        <is>
          <t>VÄSTERBOTTENS LÄN</t>
        </is>
      </c>
      <c r="E375" t="inlineStr">
        <is>
          <t>NORSJÖ</t>
        </is>
      </c>
      <c r="F375" t="inlineStr">
        <is>
          <t>Holmen skog AB</t>
        </is>
      </c>
      <c r="G375" t="n">
        <v>22.9</v>
      </c>
      <c r="H375" t="n">
        <v>0</v>
      </c>
      <c r="I375" t="n">
        <v>0</v>
      </c>
      <c r="J375" t="n">
        <v>0</v>
      </c>
      <c r="K375" t="n">
        <v>0</v>
      </c>
      <c r="L375" t="n">
        <v>0</v>
      </c>
      <c r="M375" t="n">
        <v>0</v>
      </c>
      <c r="N375" t="n">
        <v>0</v>
      </c>
      <c r="O375" t="n">
        <v>0</v>
      </c>
      <c r="P375" t="n">
        <v>0</v>
      </c>
      <c r="Q375" t="n">
        <v>0</v>
      </c>
      <c r="R375" s="2" t="inlineStr"/>
    </row>
    <row r="376" ht="15" customHeight="1">
      <c r="A376" t="inlineStr">
        <is>
          <t>A 10577-2026</t>
        </is>
      </c>
      <c r="B376" s="1" t="n">
        <v>46077.66824074074</v>
      </c>
      <c r="C376" s="1" t="n">
        <v>46158</v>
      </c>
      <c r="D376" t="inlineStr">
        <is>
          <t>VÄSTERBOTTENS LÄN</t>
        </is>
      </c>
      <c r="E376" t="inlineStr">
        <is>
          <t>NORSJÖ</t>
        </is>
      </c>
      <c r="G376" t="n">
        <v>9.9</v>
      </c>
      <c r="H376" t="n">
        <v>0</v>
      </c>
      <c r="I376" t="n">
        <v>0</v>
      </c>
      <c r="J376" t="n">
        <v>0</v>
      </c>
      <c r="K376" t="n">
        <v>0</v>
      </c>
      <c r="L376" t="n">
        <v>0</v>
      </c>
      <c r="M376" t="n">
        <v>0</v>
      </c>
      <c r="N376" t="n">
        <v>0</v>
      </c>
      <c r="O376" t="n">
        <v>0</v>
      </c>
      <c r="P376" t="n">
        <v>0</v>
      </c>
      <c r="Q376" t="n">
        <v>0</v>
      </c>
      <c r="R376" s="2" t="inlineStr"/>
    </row>
    <row r="377" ht="15" customHeight="1">
      <c r="A377" t="inlineStr">
        <is>
          <t>A 25735-2023</t>
        </is>
      </c>
      <c r="B377" s="1" t="n">
        <v>45090</v>
      </c>
      <c r="C377" s="1" t="n">
        <v>46158</v>
      </c>
      <c r="D377" t="inlineStr">
        <is>
          <t>VÄSTERBOTTENS LÄN</t>
        </is>
      </c>
      <c r="E377" t="inlineStr">
        <is>
          <t>NORSJÖ</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59026-2025</t>
        </is>
      </c>
      <c r="B378" s="1" t="n">
        <v>45988</v>
      </c>
      <c r="C378" s="1" t="n">
        <v>46158</v>
      </c>
      <c r="D378" t="inlineStr">
        <is>
          <t>VÄSTERBOTTENS LÄN</t>
        </is>
      </c>
      <c r="E378" t="inlineStr">
        <is>
          <t>NORSJÖ</t>
        </is>
      </c>
      <c r="G378" t="n">
        <v>3.9</v>
      </c>
      <c r="H378" t="n">
        <v>0</v>
      </c>
      <c r="I378" t="n">
        <v>0</v>
      </c>
      <c r="J378" t="n">
        <v>0</v>
      </c>
      <c r="K378" t="n">
        <v>0</v>
      </c>
      <c r="L378" t="n">
        <v>0</v>
      </c>
      <c r="M378" t="n">
        <v>0</v>
      </c>
      <c r="N378" t="n">
        <v>0</v>
      </c>
      <c r="O378" t="n">
        <v>0</v>
      </c>
      <c r="P378" t="n">
        <v>0</v>
      </c>
      <c r="Q378" t="n">
        <v>0</v>
      </c>
      <c r="R378" s="2" t="inlineStr"/>
    </row>
    <row r="379" ht="15" customHeight="1">
      <c r="A379" t="inlineStr">
        <is>
          <t>A 19421-2023</t>
        </is>
      </c>
      <c r="B379" s="1" t="n">
        <v>45049.92737268518</v>
      </c>
      <c r="C379" s="1" t="n">
        <v>46158</v>
      </c>
      <c r="D379" t="inlineStr">
        <is>
          <t>VÄSTERBOTTENS LÄN</t>
        </is>
      </c>
      <c r="E379" t="inlineStr">
        <is>
          <t>NORSJÖ</t>
        </is>
      </c>
      <c r="G379" t="n">
        <v>0.5</v>
      </c>
      <c r="H379" t="n">
        <v>0</v>
      </c>
      <c r="I379" t="n">
        <v>0</v>
      </c>
      <c r="J379" t="n">
        <v>0</v>
      </c>
      <c r="K379" t="n">
        <v>0</v>
      </c>
      <c r="L379" t="n">
        <v>0</v>
      </c>
      <c r="M379" t="n">
        <v>0</v>
      </c>
      <c r="N379" t="n">
        <v>0</v>
      </c>
      <c r="O379" t="n">
        <v>0</v>
      </c>
      <c r="P379" t="n">
        <v>0</v>
      </c>
      <c r="Q379" t="n">
        <v>0</v>
      </c>
      <c r="R379" s="2" t="inlineStr"/>
    </row>
    <row r="380" ht="15" customHeight="1">
      <c r="A380" t="inlineStr">
        <is>
          <t>A 51297-2021</t>
        </is>
      </c>
      <c r="B380" s="1" t="n">
        <v>44461.59241898148</v>
      </c>
      <c r="C380" s="1" t="n">
        <v>46158</v>
      </c>
      <c r="D380" t="inlineStr">
        <is>
          <t>VÄSTERBOTTENS LÄN</t>
        </is>
      </c>
      <c r="E380" t="inlineStr">
        <is>
          <t>NORSJÖ</t>
        </is>
      </c>
      <c r="G380" t="n">
        <v>5.9</v>
      </c>
      <c r="H380" t="n">
        <v>0</v>
      </c>
      <c r="I380" t="n">
        <v>0</v>
      </c>
      <c r="J380" t="n">
        <v>0</v>
      </c>
      <c r="K380" t="n">
        <v>0</v>
      </c>
      <c r="L380" t="n">
        <v>0</v>
      </c>
      <c r="M380" t="n">
        <v>0</v>
      </c>
      <c r="N380" t="n">
        <v>0</v>
      </c>
      <c r="O380" t="n">
        <v>0</v>
      </c>
      <c r="P380" t="n">
        <v>0</v>
      </c>
      <c r="Q380" t="n">
        <v>0</v>
      </c>
      <c r="R380" s="2" t="inlineStr"/>
    </row>
    <row r="381" ht="15" customHeight="1">
      <c r="A381" t="inlineStr">
        <is>
          <t>A 39067-2024</t>
        </is>
      </c>
      <c r="B381" s="1" t="n">
        <v>45548.53137731482</v>
      </c>
      <c r="C381" s="1" t="n">
        <v>46158</v>
      </c>
      <c r="D381" t="inlineStr">
        <is>
          <t>VÄSTERBOTTENS LÄN</t>
        </is>
      </c>
      <c r="E381" t="inlineStr">
        <is>
          <t>NORSJÖ</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17276-2026</t>
        </is>
      </c>
      <c r="B382" s="1" t="n">
        <v>46119.52461805556</v>
      </c>
      <c r="C382" s="1" t="n">
        <v>46158</v>
      </c>
      <c r="D382" t="inlineStr">
        <is>
          <t>VÄSTERBOTTENS LÄN</t>
        </is>
      </c>
      <c r="E382" t="inlineStr">
        <is>
          <t>NORSJÖ</t>
        </is>
      </c>
      <c r="G382" t="n">
        <v>4.3</v>
      </c>
      <c r="H382" t="n">
        <v>0</v>
      </c>
      <c r="I382" t="n">
        <v>0</v>
      </c>
      <c r="J382" t="n">
        <v>0</v>
      </c>
      <c r="K382" t="n">
        <v>0</v>
      </c>
      <c r="L382" t="n">
        <v>0</v>
      </c>
      <c r="M382" t="n">
        <v>0</v>
      </c>
      <c r="N382" t="n">
        <v>0</v>
      </c>
      <c r="O382" t="n">
        <v>0</v>
      </c>
      <c r="P382" t="n">
        <v>0</v>
      </c>
      <c r="Q382" t="n">
        <v>0</v>
      </c>
      <c r="R382" s="2" t="inlineStr"/>
    </row>
    <row r="383" ht="15" customHeight="1">
      <c r="A383" t="inlineStr">
        <is>
          <t>A 58860-2025</t>
        </is>
      </c>
      <c r="B383" s="1" t="n">
        <v>45987.42810185185</v>
      </c>
      <c r="C383" s="1" t="n">
        <v>46158</v>
      </c>
      <c r="D383" t="inlineStr">
        <is>
          <t>VÄSTERBOTTENS LÄN</t>
        </is>
      </c>
      <c r="E383" t="inlineStr">
        <is>
          <t>NORSJÖ</t>
        </is>
      </c>
      <c r="G383" t="n">
        <v>14.1</v>
      </c>
      <c r="H383" t="n">
        <v>0</v>
      </c>
      <c r="I383" t="n">
        <v>0</v>
      </c>
      <c r="J383" t="n">
        <v>0</v>
      </c>
      <c r="K383" t="n">
        <v>0</v>
      </c>
      <c r="L383" t="n">
        <v>0</v>
      </c>
      <c r="M383" t="n">
        <v>0</v>
      </c>
      <c r="N383" t="n">
        <v>0</v>
      </c>
      <c r="O383" t="n">
        <v>0</v>
      </c>
      <c r="P383" t="n">
        <v>0</v>
      </c>
      <c r="Q383" t="n">
        <v>0</v>
      </c>
      <c r="R383" s="2" t="inlineStr"/>
    </row>
    <row r="384" ht="15" customHeight="1">
      <c r="A384" t="inlineStr">
        <is>
          <t>A 59375-2025</t>
        </is>
      </c>
      <c r="B384" s="1" t="n">
        <v>45989.44947916667</v>
      </c>
      <c r="C384" s="1" t="n">
        <v>46158</v>
      </c>
      <c r="D384" t="inlineStr">
        <is>
          <t>VÄSTERBOTTENS LÄN</t>
        </is>
      </c>
      <c r="E384" t="inlineStr">
        <is>
          <t>NORSJÖ</t>
        </is>
      </c>
      <c r="G384" t="n">
        <v>4.2</v>
      </c>
      <c r="H384" t="n">
        <v>0</v>
      </c>
      <c r="I384" t="n">
        <v>0</v>
      </c>
      <c r="J384" t="n">
        <v>0</v>
      </c>
      <c r="K384" t="n">
        <v>0</v>
      </c>
      <c r="L384" t="n">
        <v>0</v>
      </c>
      <c r="M384" t="n">
        <v>0</v>
      </c>
      <c r="N384" t="n">
        <v>0</v>
      </c>
      <c r="O384" t="n">
        <v>0</v>
      </c>
      <c r="P384" t="n">
        <v>0</v>
      </c>
      <c r="Q384" t="n">
        <v>0</v>
      </c>
      <c r="R384" s="2" t="inlineStr"/>
    </row>
    <row r="385" ht="15" customHeight="1">
      <c r="A385" t="inlineStr">
        <is>
          <t>A 59513-2025</t>
        </is>
      </c>
      <c r="B385" s="1" t="n">
        <v>45989</v>
      </c>
      <c r="C385" s="1" t="n">
        <v>46158</v>
      </c>
      <c r="D385" t="inlineStr">
        <is>
          <t>VÄSTERBOTTENS LÄN</t>
        </is>
      </c>
      <c r="E385" t="inlineStr">
        <is>
          <t>NORSJÖ</t>
        </is>
      </c>
      <c r="G385" t="n">
        <v>6.7</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46158</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59453-2025</t>
        </is>
      </c>
      <c r="B387" s="1" t="n">
        <v>45989.57416666667</v>
      </c>
      <c r="C387" s="1" t="n">
        <v>46158</v>
      </c>
      <c r="D387" t="inlineStr">
        <is>
          <t>VÄSTERBOTTENS LÄN</t>
        </is>
      </c>
      <c r="E387" t="inlineStr">
        <is>
          <t>NORSJÖ</t>
        </is>
      </c>
      <c r="F387" t="inlineStr">
        <is>
          <t>Sveaskog</t>
        </is>
      </c>
      <c r="G387" t="n">
        <v>11.9</v>
      </c>
      <c r="H387" t="n">
        <v>0</v>
      </c>
      <c r="I387" t="n">
        <v>0</v>
      </c>
      <c r="J387" t="n">
        <v>0</v>
      </c>
      <c r="K387" t="n">
        <v>0</v>
      </c>
      <c r="L387" t="n">
        <v>0</v>
      </c>
      <c r="M387" t="n">
        <v>0</v>
      </c>
      <c r="N387" t="n">
        <v>0</v>
      </c>
      <c r="O387" t="n">
        <v>0</v>
      </c>
      <c r="P387" t="n">
        <v>0</v>
      </c>
      <c r="Q387" t="n">
        <v>0</v>
      </c>
      <c r="R387" s="2" t="inlineStr"/>
    </row>
    <row r="388" ht="15" customHeight="1">
      <c r="A388" t="inlineStr">
        <is>
          <t>A 59923-2025</t>
        </is>
      </c>
      <c r="B388" s="1" t="n">
        <v>45993</v>
      </c>
      <c r="C388" s="1" t="n">
        <v>46158</v>
      </c>
      <c r="D388" t="inlineStr">
        <is>
          <t>VÄSTERBOTTENS LÄN</t>
        </is>
      </c>
      <c r="E388" t="inlineStr">
        <is>
          <t>NORSJÖ</t>
        </is>
      </c>
      <c r="G388" t="n">
        <v>7.9</v>
      </c>
      <c r="H388" t="n">
        <v>0</v>
      </c>
      <c r="I388" t="n">
        <v>0</v>
      </c>
      <c r="J388" t="n">
        <v>0</v>
      </c>
      <c r="K388" t="n">
        <v>0</v>
      </c>
      <c r="L388" t="n">
        <v>0</v>
      </c>
      <c r="M388" t="n">
        <v>0</v>
      </c>
      <c r="N388" t="n">
        <v>0</v>
      </c>
      <c r="O388" t="n">
        <v>0</v>
      </c>
      <c r="P388" t="n">
        <v>0</v>
      </c>
      <c r="Q388" t="n">
        <v>0</v>
      </c>
      <c r="R388" s="2" t="inlineStr"/>
    </row>
    <row r="389" ht="15" customHeight="1">
      <c r="A389" t="inlineStr">
        <is>
          <t>A 59901-2025</t>
        </is>
      </c>
      <c r="B389" s="1" t="n">
        <v>45993.34475694445</v>
      </c>
      <c r="C389" s="1" t="n">
        <v>46158</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59959-2025</t>
        </is>
      </c>
      <c r="B390" s="1" t="n">
        <v>45993</v>
      </c>
      <c r="C390" s="1" t="n">
        <v>46158</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59900-2025</t>
        </is>
      </c>
      <c r="B391" s="1" t="n">
        <v>45993.34473379629</v>
      </c>
      <c r="C391" s="1" t="n">
        <v>46158</v>
      </c>
      <c r="D391" t="inlineStr">
        <is>
          <t>VÄSTERBOTTENS LÄN</t>
        </is>
      </c>
      <c r="E391" t="inlineStr">
        <is>
          <t>NORSJÖ</t>
        </is>
      </c>
      <c r="G391" t="n">
        <v>2.6</v>
      </c>
      <c r="H391" t="n">
        <v>0</v>
      </c>
      <c r="I391" t="n">
        <v>0</v>
      </c>
      <c r="J391" t="n">
        <v>0</v>
      </c>
      <c r="K391" t="n">
        <v>0</v>
      </c>
      <c r="L391" t="n">
        <v>0</v>
      </c>
      <c r="M391" t="n">
        <v>0</v>
      </c>
      <c r="N391" t="n">
        <v>0</v>
      </c>
      <c r="O391" t="n">
        <v>0</v>
      </c>
      <c r="P391" t="n">
        <v>0</v>
      </c>
      <c r="Q391" t="n">
        <v>0</v>
      </c>
      <c r="R391" s="2" t="inlineStr"/>
    </row>
    <row r="392" ht="15" customHeight="1">
      <c r="A392" t="inlineStr">
        <is>
          <t>A 59958-2025</t>
        </is>
      </c>
      <c r="B392" s="1" t="n">
        <v>45993.46925925926</v>
      </c>
      <c r="C392" s="1" t="n">
        <v>46158</v>
      </c>
      <c r="D392" t="inlineStr">
        <is>
          <t>VÄSTERBOTTENS LÄN</t>
        </is>
      </c>
      <c r="E392" t="inlineStr">
        <is>
          <t>NORSJÖ</t>
        </is>
      </c>
      <c r="G392" t="n">
        <v>1</v>
      </c>
      <c r="H392" t="n">
        <v>0</v>
      </c>
      <c r="I392" t="n">
        <v>0</v>
      </c>
      <c r="J392" t="n">
        <v>0</v>
      </c>
      <c r="K392" t="n">
        <v>0</v>
      </c>
      <c r="L392" t="n">
        <v>0</v>
      </c>
      <c r="M392" t="n">
        <v>0</v>
      </c>
      <c r="N392" t="n">
        <v>0</v>
      </c>
      <c r="O392" t="n">
        <v>0</v>
      </c>
      <c r="P392" t="n">
        <v>0</v>
      </c>
      <c r="Q392" t="n">
        <v>0</v>
      </c>
      <c r="R392" s="2" t="inlineStr"/>
    </row>
    <row r="393" ht="15" customHeight="1">
      <c r="A393" t="inlineStr">
        <is>
          <t>A 6344-2025</t>
        </is>
      </c>
      <c r="B393" s="1" t="n">
        <v>45699.3434837963</v>
      </c>
      <c r="C393" s="1" t="n">
        <v>46158</v>
      </c>
      <c r="D393" t="inlineStr">
        <is>
          <t>VÄSTERBOTTENS LÄN</t>
        </is>
      </c>
      <c r="E393" t="inlineStr">
        <is>
          <t>NORSJÖ</t>
        </is>
      </c>
      <c r="G393" t="n">
        <v>1.8</v>
      </c>
      <c r="H393" t="n">
        <v>0</v>
      </c>
      <c r="I393" t="n">
        <v>0</v>
      </c>
      <c r="J393" t="n">
        <v>0</v>
      </c>
      <c r="K393" t="n">
        <v>0</v>
      </c>
      <c r="L393" t="n">
        <v>0</v>
      </c>
      <c r="M393" t="n">
        <v>0</v>
      </c>
      <c r="N393" t="n">
        <v>0</v>
      </c>
      <c r="O393" t="n">
        <v>0</v>
      </c>
      <c r="P393" t="n">
        <v>0</v>
      </c>
      <c r="Q393" t="n">
        <v>0</v>
      </c>
      <c r="R393" s="2" t="inlineStr"/>
    </row>
    <row r="394" ht="15" customHeight="1">
      <c r="A394" t="inlineStr">
        <is>
          <t>A 14746-2025</t>
        </is>
      </c>
      <c r="B394" s="1" t="n">
        <v>45742.65662037037</v>
      </c>
      <c r="C394" s="1" t="n">
        <v>46158</v>
      </c>
      <c r="D394" t="inlineStr">
        <is>
          <t>VÄSTERBOTTENS LÄN</t>
        </is>
      </c>
      <c r="E394" t="inlineStr">
        <is>
          <t>NORSJÖ</t>
        </is>
      </c>
      <c r="G394" t="n">
        <v>1.5</v>
      </c>
      <c r="H394" t="n">
        <v>0</v>
      </c>
      <c r="I394" t="n">
        <v>0</v>
      </c>
      <c r="J394" t="n">
        <v>0</v>
      </c>
      <c r="K394" t="n">
        <v>0</v>
      </c>
      <c r="L394" t="n">
        <v>0</v>
      </c>
      <c r="M394" t="n">
        <v>0</v>
      </c>
      <c r="N394" t="n">
        <v>0</v>
      </c>
      <c r="O394" t="n">
        <v>0</v>
      </c>
      <c r="P394" t="n">
        <v>0</v>
      </c>
      <c r="Q394" t="n">
        <v>0</v>
      </c>
      <c r="R394" s="2" t="inlineStr"/>
    </row>
    <row r="395" ht="15" customHeight="1">
      <c r="A395" t="inlineStr">
        <is>
          <t>A 59133-2024</t>
        </is>
      </c>
      <c r="B395" s="1" t="n">
        <v>45636</v>
      </c>
      <c r="C395" s="1" t="n">
        <v>46158</v>
      </c>
      <c r="D395" t="inlineStr">
        <is>
          <t>VÄSTERBOTTENS LÄN</t>
        </is>
      </c>
      <c r="E395" t="inlineStr">
        <is>
          <t>NORSJÖ</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33080-2024</t>
        </is>
      </c>
      <c r="B396" s="1" t="n">
        <v>45517.67284722222</v>
      </c>
      <c r="C396" s="1" t="n">
        <v>46158</v>
      </c>
      <c r="D396" t="inlineStr">
        <is>
          <t>VÄSTERBOTTENS LÄN</t>
        </is>
      </c>
      <c r="E396" t="inlineStr">
        <is>
          <t>NORSJÖ</t>
        </is>
      </c>
      <c r="F396" t="inlineStr">
        <is>
          <t>Holmen skog AB</t>
        </is>
      </c>
      <c r="G396" t="n">
        <v>25.2</v>
      </c>
      <c r="H396" t="n">
        <v>0</v>
      </c>
      <c r="I396" t="n">
        <v>0</v>
      </c>
      <c r="J396" t="n">
        <v>0</v>
      </c>
      <c r="K396" t="n">
        <v>0</v>
      </c>
      <c r="L396" t="n">
        <v>0</v>
      </c>
      <c r="M396" t="n">
        <v>0</v>
      </c>
      <c r="N396" t="n">
        <v>0</v>
      </c>
      <c r="O396" t="n">
        <v>0</v>
      </c>
      <c r="P396" t="n">
        <v>0</v>
      </c>
      <c r="Q396" t="n">
        <v>0</v>
      </c>
      <c r="R396" s="2" t="inlineStr"/>
    </row>
    <row r="397" ht="15" customHeight="1">
      <c r="A397" t="inlineStr">
        <is>
          <t>A 60860-2025</t>
        </is>
      </c>
      <c r="B397" s="1" t="n">
        <v>45999.52586805556</v>
      </c>
      <c r="C397" s="1" t="n">
        <v>46158</v>
      </c>
      <c r="D397" t="inlineStr">
        <is>
          <t>VÄSTERBOTTENS LÄN</t>
        </is>
      </c>
      <c r="E397" t="inlineStr">
        <is>
          <t>NORSJÖ</t>
        </is>
      </c>
      <c r="G397" t="n">
        <v>2.4</v>
      </c>
      <c r="H397" t="n">
        <v>0</v>
      </c>
      <c r="I397" t="n">
        <v>0</v>
      </c>
      <c r="J397" t="n">
        <v>0</v>
      </c>
      <c r="K397" t="n">
        <v>0</v>
      </c>
      <c r="L397" t="n">
        <v>0</v>
      </c>
      <c r="M397" t="n">
        <v>0</v>
      </c>
      <c r="N397" t="n">
        <v>0</v>
      </c>
      <c r="O397" t="n">
        <v>0</v>
      </c>
      <c r="P397" t="n">
        <v>0</v>
      </c>
      <c r="Q397" t="n">
        <v>0</v>
      </c>
      <c r="R397" s="2" t="inlineStr"/>
    </row>
    <row r="398" ht="15" customHeight="1">
      <c r="A398" t="inlineStr">
        <is>
          <t>A 28966-2023</t>
        </is>
      </c>
      <c r="B398" s="1" t="n">
        <v>45104</v>
      </c>
      <c r="C398" s="1" t="n">
        <v>46158</v>
      </c>
      <c r="D398" t="inlineStr">
        <is>
          <t>VÄSTERBOTTENS LÄN</t>
        </is>
      </c>
      <c r="E398" t="inlineStr">
        <is>
          <t>NORSJÖ</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16030-2025</t>
        </is>
      </c>
      <c r="B399" s="1" t="n">
        <v>45748</v>
      </c>
      <c r="C399" s="1" t="n">
        <v>46158</v>
      </c>
      <c r="D399" t="inlineStr">
        <is>
          <t>VÄSTERBOTTENS LÄN</t>
        </is>
      </c>
      <c r="E399" t="inlineStr">
        <is>
          <t>NORSJÖ</t>
        </is>
      </c>
      <c r="G399" t="n">
        <v>13.1</v>
      </c>
      <c r="H399" t="n">
        <v>0</v>
      </c>
      <c r="I399" t="n">
        <v>0</v>
      </c>
      <c r="J399" t="n">
        <v>0</v>
      </c>
      <c r="K399" t="n">
        <v>0</v>
      </c>
      <c r="L399" t="n">
        <v>0</v>
      </c>
      <c r="M399" t="n">
        <v>0</v>
      </c>
      <c r="N399" t="n">
        <v>0</v>
      </c>
      <c r="O399" t="n">
        <v>0</v>
      </c>
      <c r="P399" t="n">
        <v>0</v>
      </c>
      <c r="Q399" t="n">
        <v>0</v>
      </c>
      <c r="R399" s="2" t="inlineStr"/>
    </row>
    <row r="400" ht="15" customHeight="1">
      <c r="A400" t="inlineStr">
        <is>
          <t>A 61338-2025</t>
        </is>
      </c>
      <c r="B400" s="1" t="n">
        <v>46001.34715277778</v>
      </c>
      <c r="C400" s="1" t="n">
        <v>46158</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61339-2025</t>
        </is>
      </c>
      <c r="B401" s="1" t="n">
        <v>46001.34778935185</v>
      </c>
      <c r="C401" s="1" t="n">
        <v>46158</v>
      </c>
      <c r="D401" t="inlineStr">
        <is>
          <t>VÄSTERBOTTENS LÄN</t>
        </is>
      </c>
      <c r="E401" t="inlineStr">
        <is>
          <t>NORSJÖ</t>
        </is>
      </c>
      <c r="G401" t="n">
        <v>2.4</v>
      </c>
      <c r="H401" t="n">
        <v>0</v>
      </c>
      <c r="I401" t="n">
        <v>0</v>
      </c>
      <c r="J401" t="n">
        <v>0</v>
      </c>
      <c r="K401" t="n">
        <v>0</v>
      </c>
      <c r="L401" t="n">
        <v>0</v>
      </c>
      <c r="M401" t="n">
        <v>0</v>
      </c>
      <c r="N401" t="n">
        <v>0</v>
      </c>
      <c r="O401" t="n">
        <v>0</v>
      </c>
      <c r="P401" t="n">
        <v>0</v>
      </c>
      <c r="Q401" t="n">
        <v>0</v>
      </c>
      <c r="R401" s="2" t="inlineStr"/>
    </row>
    <row r="402" ht="15" customHeight="1">
      <c r="A402" t="inlineStr">
        <is>
          <t>A 61336-2025</t>
        </is>
      </c>
      <c r="B402" s="1" t="n">
        <v>46001.34512731482</v>
      </c>
      <c r="C402" s="1" t="n">
        <v>46158</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61345-2025</t>
        </is>
      </c>
      <c r="B403" s="1" t="n">
        <v>46001.36390046297</v>
      </c>
      <c r="C403" s="1" t="n">
        <v>46158</v>
      </c>
      <c r="D403" t="inlineStr">
        <is>
          <t>VÄSTERBOTTENS LÄN</t>
        </is>
      </c>
      <c r="E403" t="inlineStr">
        <is>
          <t>NORSJÖ</t>
        </is>
      </c>
      <c r="F403" t="inlineStr">
        <is>
          <t>Sveaskog</t>
        </is>
      </c>
      <c r="G403" t="n">
        <v>6.6</v>
      </c>
      <c r="H403" t="n">
        <v>0</v>
      </c>
      <c r="I403" t="n">
        <v>0</v>
      </c>
      <c r="J403" t="n">
        <v>0</v>
      </c>
      <c r="K403" t="n">
        <v>0</v>
      </c>
      <c r="L403" t="n">
        <v>0</v>
      </c>
      <c r="M403" t="n">
        <v>0</v>
      </c>
      <c r="N403" t="n">
        <v>0</v>
      </c>
      <c r="O403" t="n">
        <v>0</v>
      </c>
      <c r="P403" t="n">
        <v>0</v>
      </c>
      <c r="Q403" t="n">
        <v>0</v>
      </c>
      <c r="R403" s="2" t="inlineStr"/>
    </row>
    <row r="404" ht="15" customHeight="1">
      <c r="A404" t="inlineStr">
        <is>
          <t>A 24763-2023</t>
        </is>
      </c>
      <c r="B404" s="1" t="n">
        <v>45084.63084490741</v>
      </c>
      <c r="C404" s="1" t="n">
        <v>46158</v>
      </c>
      <c r="D404" t="inlineStr">
        <is>
          <t>VÄSTERBOTTENS LÄN</t>
        </is>
      </c>
      <c r="E404" t="inlineStr">
        <is>
          <t>NORSJÖ</t>
        </is>
      </c>
      <c r="F404" t="inlineStr">
        <is>
          <t>Holmen skog AB</t>
        </is>
      </c>
      <c r="G404" t="n">
        <v>4.6</v>
      </c>
      <c r="H404" t="n">
        <v>0</v>
      </c>
      <c r="I404" t="n">
        <v>0</v>
      </c>
      <c r="J404" t="n">
        <v>0</v>
      </c>
      <c r="K404" t="n">
        <v>0</v>
      </c>
      <c r="L404" t="n">
        <v>0</v>
      </c>
      <c r="M404" t="n">
        <v>0</v>
      </c>
      <c r="N404" t="n">
        <v>0</v>
      </c>
      <c r="O404" t="n">
        <v>0</v>
      </c>
      <c r="P404" t="n">
        <v>0</v>
      </c>
      <c r="Q404" t="n">
        <v>0</v>
      </c>
      <c r="R404" s="2" t="inlineStr"/>
    </row>
    <row r="405" ht="15" customHeight="1">
      <c r="A405" t="inlineStr">
        <is>
          <t>A 61919-2025</t>
        </is>
      </c>
      <c r="B405" s="1" t="n">
        <v>46003.51107638889</v>
      </c>
      <c r="C405" s="1" t="n">
        <v>46158</v>
      </c>
      <c r="D405" t="inlineStr">
        <is>
          <t>VÄSTERBOTTENS LÄN</t>
        </is>
      </c>
      <c r="E405" t="inlineStr">
        <is>
          <t>NORSJÖ</t>
        </is>
      </c>
      <c r="G405" t="n">
        <v>12.9</v>
      </c>
      <c r="H405" t="n">
        <v>0</v>
      </c>
      <c r="I405" t="n">
        <v>0</v>
      </c>
      <c r="J405" t="n">
        <v>0</v>
      </c>
      <c r="K405" t="n">
        <v>0</v>
      </c>
      <c r="L405" t="n">
        <v>0</v>
      </c>
      <c r="M405" t="n">
        <v>0</v>
      </c>
      <c r="N405" t="n">
        <v>0</v>
      </c>
      <c r="O405" t="n">
        <v>0</v>
      </c>
      <c r="P405" t="n">
        <v>0</v>
      </c>
      <c r="Q405" t="n">
        <v>0</v>
      </c>
      <c r="R405" s="2" t="inlineStr"/>
    </row>
    <row r="406" ht="15" customHeight="1">
      <c r="A406" t="inlineStr">
        <is>
          <t>A 11365-2026</t>
        </is>
      </c>
      <c r="B406" s="1" t="n">
        <v>46083.365</v>
      </c>
      <c r="C406" s="1" t="n">
        <v>46158</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15198-2023</t>
        </is>
      </c>
      <c r="B407" s="1" t="n">
        <v>45016</v>
      </c>
      <c r="C407" s="1" t="n">
        <v>46158</v>
      </c>
      <c r="D407" t="inlineStr">
        <is>
          <t>VÄSTERBOTTENS LÄN</t>
        </is>
      </c>
      <c r="E407" t="inlineStr">
        <is>
          <t>NORSJÖ</t>
        </is>
      </c>
      <c r="G407" t="n">
        <v>0.2</v>
      </c>
      <c r="H407" t="n">
        <v>0</v>
      </c>
      <c r="I407" t="n">
        <v>0</v>
      </c>
      <c r="J407" t="n">
        <v>0</v>
      </c>
      <c r="K407" t="n">
        <v>0</v>
      </c>
      <c r="L407" t="n">
        <v>0</v>
      </c>
      <c r="M407" t="n">
        <v>0</v>
      </c>
      <c r="N407" t="n">
        <v>0</v>
      </c>
      <c r="O407" t="n">
        <v>0</v>
      </c>
      <c r="P407" t="n">
        <v>0</v>
      </c>
      <c r="Q407" t="n">
        <v>0</v>
      </c>
      <c r="R407" s="2" t="inlineStr"/>
    </row>
    <row r="408" ht="15" customHeight="1">
      <c r="A408" t="inlineStr">
        <is>
          <t>A 11531-2024</t>
        </is>
      </c>
      <c r="B408" s="1" t="n">
        <v>45372.92850694444</v>
      </c>
      <c r="C408" s="1" t="n">
        <v>46158</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35630-2023</t>
        </is>
      </c>
      <c r="B409" s="1" t="n">
        <v>45147</v>
      </c>
      <c r="C409" s="1" t="n">
        <v>46158</v>
      </c>
      <c r="D409" t="inlineStr">
        <is>
          <t>VÄSTERBOTTENS LÄN</t>
        </is>
      </c>
      <c r="E409" t="inlineStr">
        <is>
          <t>NORSJÖ</t>
        </is>
      </c>
      <c r="G409" t="n">
        <v>1.3</v>
      </c>
      <c r="H409" t="n">
        <v>0</v>
      </c>
      <c r="I409" t="n">
        <v>0</v>
      </c>
      <c r="J409" t="n">
        <v>0</v>
      </c>
      <c r="K409" t="n">
        <v>0</v>
      </c>
      <c r="L409" t="n">
        <v>0</v>
      </c>
      <c r="M409" t="n">
        <v>0</v>
      </c>
      <c r="N409" t="n">
        <v>0</v>
      </c>
      <c r="O409" t="n">
        <v>0</v>
      </c>
      <c r="P409" t="n">
        <v>0</v>
      </c>
      <c r="Q409" t="n">
        <v>0</v>
      </c>
      <c r="R409" s="2" t="inlineStr"/>
    </row>
    <row r="410" ht="15" customHeight="1">
      <c r="A410" t="inlineStr">
        <is>
          <t>A 62794-2025</t>
        </is>
      </c>
      <c r="B410" s="1" t="n">
        <v>46008.63635416667</v>
      </c>
      <c r="C410" s="1" t="n">
        <v>46158</v>
      </c>
      <c r="D410" t="inlineStr">
        <is>
          <t>VÄSTERBOTTENS LÄN</t>
        </is>
      </c>
      <c r="E410" t="inlineStr">
        <is>
          <t>NORSJÖ</t>
        </is>
      </c>
      <c r="G410" t="n">
        <v>4.1</v>
      </c>
      <c r="H410" t="n">
        <v>0</v>
      </c>
      <c r="I410" t="n">
        <v>0</v>
      </c>
      <c r="J410" t="n">
        <v>0</v>
      </c>
      <c r="K410" t="n">
        <v>0</v>
      </c>
      <c r="L410" t="n">
        <v>0</v>
      </c>
      <c r="M410" t="n">
        <v>0</v>
      </c>
      <c r="N410" t="n">
        <v>0</v>
      </c>
      <c r="O410" t="n">
        <v>0</v>
      </c>
      <c r="P410" t="n">
        <v>0</v>
      </c>
      <c r="Q410" t="n">
        <v>0</v>
      </c>
      <c r="R410" s="2" t="inlineStr"/>
    </row>
    <row r="411" ht="15" customHeight="1">
      <c r="A411" t="inlineStr">
        <is>
          <t>A 62758-2025</t>
        </is>
      </c>
      <c r="B411" s="1" t="n">
        <v>46008</v>
      </c>
      <c r="C411" s="1" t="n">
        <v>46158</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36473-2024</t>
        </is>
      </c>
      <c r="B412" s="1" t="n">
        <v>45537.36001157408</v>
      </c>
      <c r="C412" s="1" t="n">
        <v>46158</v>
      </c>
      <c r="D412" t="inlineStr">
        <is>
          <t>VÄSTERBOTTENS LÄN</t>
        </is>
      </c>
      <c r="E412" t="inlineStr">
        <is>
          <t>NORSJÖ</t>
        </is>
      </c>
      <c r="G412" t="n">
        <v>5.1</v>
      </c>
      <c r="H412" t="n">
        <v>0</v>
      </c>
      <c r="I412" t="n">
        <v>0</v>
      </c>
      <c r="J412" t="n">
        <v>0</v>
      </c>
      <c r="K412" t="n">
        <v>0</v>
      </c>
      <c r="L412" t="n">
        <v>0</v>
      </c>
      <c r="M412" t="n">
        <v>0</v>
      </c>
      <c r="N412" t="n">
        <v>0</v>
      </c>
      <c r="O412" t="n">
        <v>0</v>
      </c>
      <c r="P412" t="n">
        <v>0</v>
      </c>
      <c r="Q412" t="n">
        <v>0</v>
      </c>
      <c r="R412" s="2" t="inlineStr"/>
    </row>
    <row r="413" ht="15" customHeight="1">
      <c r="A413" t="inlineStr">
        <is>
          <t>A 73995-2021</t>
        </is>
      </c>
      <c r="B413" s="1" t="n">
        <v>44556.8244212963</v>
      </c>
      <c r="C413" s="1" t="n">
        <v>46158</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45944-2024</t>
        </is>
      </c>
      <c r="B414" s="1" t="n">
        <v>45580.54452546296</v>
      </c>
      <c r="C414" s="1" t="n">
        <v>46158</v>
      </c>
      <c r="D414" t="inlineStr">
        <is>
          <t>VÄSTERBOTTENS LÄN</t>
        </is>
      </c>
      <c r="E414" t="inlineStr">
        <is>
          <t>NORSJÖ</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49324-2025</t>
        </is>
      </c>
      <c r="B415" s="1" t="n">
        <v>45938</v>
      </c>
      <c r="C415" s="1" t="n">
        <v>46158</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14998-2024</t>
        </is>
      </c>
      <c r="B416" s="1" t="n">
        <v>45399.41329861111</v>
      </c>
      <c r="C416" s="1" t="n">
        <v>46158</v>
      </c>
      <c r="D416" t="inlineStr">
        <is>
          <t>VÄSTERBOTTENS LÄN</t>
        </is>
      </c>
      <c r="E416" t="inlineStr">
        <is>
          <t>NORSJÖ</t>
        </is>
      </c>
      <c r="G416" t="n">
        <v>1.7</v>
      </c>
      <c r="H416" t="n">
        <v>0</v>
      </c>
      <c r="I416" t="n">
        <v>0</v>
      </c>
      <c r="J416" t="n">
        <v>0</v>
      </c>
      <c r="K416" t="n">
        <v>0</v>
      </c>
      <c r="L416" t="n">
        <v>0</v>
      </c>
      <c r="M416" t="n">
        <v>0</v>
      </c>
      <c r="N416" t="n">
        <v>0</v>
      </c>
      <c r="O416" t="n">
        <v>0</v>
      </c>
      <c r="P416" t="n">
        <v>0</v>
      </c>
      <c r="Q416" t="n">
        <v>0</v>
      </c>
      <c r="R416" s="2" t="inlineStr"/>
    </row>
    <row r="417" ht="15" customHeight="1">
      <c r="A417" t="inlineStr">
        <is>
          <t>A 43592-2024</t>
        </is>
      </c>
      <c r="B417" s="1" t="n">
        <v>45569.44123842593</v>
      </c>
      <c r="C417" s="1" t="n">
        <v>46158</v>
      </c>
      <c r="D417" t="inlineStr">
        <is>
          <t>VÄSTERBOTTENS LÄN</t>
        </is>
      </c>
      <c r="E417" t="inlineStr">
        <is>
          <t>NORSJÖ</t>
        </is>
      </c>
      <c r="F417" t="inlineStr">
        <is>
          <t>Holmen skog AB</t>
        </is>
      </c>
      <c r="G417" t="n">
        <v>2.1</v>
      </c>
      <c r="H417" t="n">
        <v>0</v>
      </c>
      <c r="I417" t="n">
        <v>0</v>
      </c>
      <c r="J417" t="n">
        <v>0</v>
      </c>
      <c r="K417" t="n">
        <v>0</v>
      </c>
      <c r="L417" t="n">
        <v>0</v>
      </c>
      <c r="M417" t="n">
        <v>0</v>
      </c>
      <c r="N417" t="n">
        <v>0</v>
      </c>
      <c r="O417" t="n">
        <v>0</v>
      </c>
      <c r="P417" t="n">
        <v>0</v>
      </c>
      <c r="Q417" t="n">
        <v>0</v>
      </c>
      <c r="R417" s="2" t="inlineStr"/>
    </row>
    <row r="418" ht="15" customHeight="1">
      <c r="A418" t="inlineStr">
        <is>
          <t>A 46775-2021</t>
        </is>
      </c>
      <c r="B418" s="1" t="n">
        <v>44445.92061342593</v>
      </c>
      <c r="C418" s="1" t="n">
        <v>46158</v>
      </c>
      <c r="D418" t="inlineStr">
        <is>
          <t>VÄSTERBOTTENS LÄN</t>
        </is>
      </c>
      <c r="E418" t="inlineStr">
        <is>
          <t>NORSJÖ</t>
        </is>
      </c>
      <c r="G418" t="n">
        <v>3</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46158</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18283-2026</t>
        </is>
      </c>
      <c r="B420" s="1" t="n">
        <v>46126.42053240741</v>
      </c>
      <c r="C420" s="1" t="n">
        <v>46158</v>
      </c>
      <c r="D420" t="inlineStr">
        <is>
          <t>VÄSTERBOTTENS LÄN</t>
        </is>
      </c>
      <c r="E420" t="inlineStr">
        <is>
          <t>NORSJÖ</t>
        </is>
      </c>
      <c r="F420" t="inlineStr">
        <is>
          <t>Holmen skog AB</t>
        </is>
      </c>
      <c r="G420" t="n">
        <v>16.6</v>
      </c>
      <c r="H420" t="n">
        <v>0</v>
      </c>
      <c r="I420" t="n">
        <v>0</v>
      </c>
      <c r="J420" t="n">
        <v>0</v>
      </c>
      <c r="K420" t="n">
        <v>0</v>
      </c>
      <c r="L420" t="n">
        <v>0</v>
      </c>
      <c r="M420" t="n">
        <v>0</v>
      </c>
      <c r="N420" t="n">
        <v>0</v>
      </c>
      <c r="O420" t="n">
        <v>0</v>
      </c>
      <c r="P420" t="n">
        <v>0</v>
      </c>
      <c r="Q420" t="n">
        <v>0</v>
      </c>
      <c r="R420" s="2" t="inlineStr"/>
    </row>
    <row r="421" ht="15" customHeight="1">
      <c r="A421" t="inlineStr">
        <is>
          <t>A 30027-2024</t>
        </is>
      </c>
      <c r="B421" s="1" t="n">
        <v>45488.65130787037</v>
      </c>
      <c r="C421" s="1" t="n">
        <v>46158</v>
      </c>
      <c r="D421" t="inlineStr">
        <is>
          <t>VÄSTERBOTTENS LÄN</t>
        </is>
      </c>
      <c r="E421" t="inlineStr">
        <is>
          <t>NORSJÖ</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37496-2023</t>
        </is>
      </c>
      <c r="B422" s="1" t="n">
        <v>45157</v>
      </c>
      <c r="C422" s="1" t="n">
        <v>46158</v>
      </c>
      <c r="D422" t="inlineStr">
        <is>
          <t>VÄSTERBOTTENS LÄN</t>
        </is>
      </c>
      <c r="E422" t="inlineStr">
        <is>
          <t>NORSJÖ</t>
        </is>
      </c>
      <c r="G422" t="n">
        <v>2.7</v>
      </c>
      <c r="H422" t="n">
        <v>0</v>
      </c>
      <c r="I422" t="n">
        <v>0</v>
      </c>
      <c r="J422" t="n">
        <v>0</v>
      </c>
      <c r="K422" t="n">
        <v>0</v>
      </c>
      <c r="L422" t="n">
        <v>0</v>
      </c>
      <c r="M422" t="n">
        <v>0</v>
      </c>
      <c r="N422" t="n">
        <v>0</v>
      </c>
      <c r="O422" t="n">
        <v>0</v>
      </c>
      <c r="P422" t="n">
        <v>0</v>
      </c>
      <c r="Q422" t="n">
        <v>0</v>
      </c>
      <c r="R422" s="2" t="inlineStr"/>
    </row>
    <row r="423" ht="15" customHeight="1">
      <c r="A423" t="inlineStr">
        <is>
          <t>A 37467-2023</t>
        </is>
      </c>
      <c r="B423" s="1" t="n">
        <v>45156</v>
      </c>
      <c r="C423" s="1" t="n">
        <v>46158</v>
      </c>
      <c r="D423" t="inlineStr">
        <is>
          <t>VÄSTERBOTTENS LÄN</t>
        </is>
      </c>
      <c r="E423" t="inlineStr">
        <is>
          <t>NORSJÖ</t>
        </is>
      </c>
      <c r="G423" t="n">
        <v>0.7</v>
      </c>
      <c r="H423" t="n">
        <v>0</v>
      </c>
      <c r="I423" t="n">
        <v>0</v>
      </c>
      <c r="J423" t="n">
        <v>0</v>
      </c>
      <c r="K423" t="n">
        <v>0</v>
      </c>
      <c r="L423" t="n">
        <v>0</v>
      </c>
      <c r="M423" t="n">
        <v>0</v>
      </c>
      <c r="N423" t="n">
        <v>0</v>
      </c>
      <c r="O423" t="n">
        <v>0</v>
      </c>
      <c r="P423" t="n">
        <v>0</v>
      </c>
      <c r="Q423" t="n">
        <v>0</v>
      </c>
      <c r="R423" s="2" t="inlineStr"/>
    </row>
    <row r="424" ht="15" customHeight="1">
      <c r="A424" t="inlineStr">
        <is>
          <t>A 38671-2023</t>
        </is>
      </c>
      <c r="B424" s="1" t="n">
        <v>45162</v>
      </c>
      <c r="C424" s="1" t="n">
        <v>46158</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46158</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18421-2024</t>
        </is>
      </c>
      <c r="B426" s="1" t="n">
        <v>45425.40733796296</v>
      </c>
      <c r="C426" s="1" t="n">
        <v>46158</v>
      </c>
      <c r="D426" t="inlineStr">
        <is>
          <t>VÄSTERBOTTENS LÄN</t>
        </is>
      </c>
      <c r="E426" t="inlineStr">
        <is>
          <t>NORSJÖ</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50617-2024</t>
        </is>
      </c>
      <c r="B427" s="1" t="n">
        <v>45601.6375462963</v>
      </c>
      <c r="C427" s="1" t="n">
        <v>46158</v>
      </c>
      <c r="D427" t="inlineStr">
        <is>
          <t>VÄSTERBOTTENS LÄN</t>
        </is>
      </c>
      <c r="E427" t="inlineStr">
        <is>
          <t>NORSJÖ</t>
        </is>
      </c>
      <c r="G427" t="n">
        <v>10.6</v>
      </c>
      <c r="H427" t="n">
        <v>0</v>
      </c>
      <c r="I427" t="n">
        <v>0</v>
      </c>
      <c r="J427" t="n">
        <v>0</v>
      </c>
      <c r="K427" t="n">
        <v>0</v>
      </c>
      <c r="L427" t="n">
        <v>0</v>
      </c>
      <c r="M427" t="n">
        <v>0</v>
      </c>
      <c r="N427" t="n">
        <v>0</v>
      </c>
      <c r="O427" t="n">
        <v>0</v>
      </c>
      <c r="P427" t="n">
        <v>0</v>
      </c>
      <c r="Q427" t="n">
        <v>0</v>
      </c>
      <c r="R427" s="2" t="inlineStr"/>
    </row>
    <row r="428" ht="15" customHeight="1">
      <c r="A428" t="inlineStr">
        <is>
          <t>A 52822-2024</t>
        </is>
      </c>
      <c r="B428" s="1" t="n">
        <v>45610.5895949074</v>
      </c>
      <c r="C428" s="1" t="n">
        <v>46158</v>
      </c>
      <c r="D428" t="inlineStr">
        <is>
          <t>VÄSTERBOTTENS LÄN</t>
        </is>
      </c>
      <c r="E428" t="inlineStr">
        <is>
          <t>NORSJÖ</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18876-2026</t>
        </is>
      </c>
      <c r="B429" s="1" t="n">
        <v>46129.41907407407</v>
      </c>
      <c r="C429" s="1" t="n">
        <v>46158</v>
      </c>
      <c r="D429" t="inlineStr">
        <is>
          <t>VÄSTERBOTTENS LÄN</t>
        </is>
      </c>
      <c r="E429" t="inlineStr">
        <is>
          <t>NORSJÖ</t>
        </is>
      </c>
      <c r="F429" t="inlineStr">
        <is>
          <t>Holmen skog AB</t>
        </is>
      </c>
      <c r="G429" t="n">
        <v>15.2</v>
      </c>
      <c r="H429" t="n">
        <v>0</v>
      </c>
      <c r="I429" t="n">
        <v>0</v>
      </c>
      <c r="J429" t="n">
        <v>0</v>
      </c>
      <c r="K429" t="n">
        <v>0</v>
      </c>
      <c r="L429" t="n">
        <v>0</v>
      </c>
      <c r="M429" t="n">
        <v>0</v>
      </c>
      <c r="N429" t="n">
        <v>0</v>
      </c>
      <c r="O429" t="n">
        <v>0</v>
      </c>
      <c r="P429" t="n">
        <v>0</v>
      </c>
      <c r="Q429" t="n">
        <v>0</v>
      </c>
      <c r="R429" s="2" t="inlineStr"/>
    </row>
    <row r="430" ht="15" customHeight="1">
      <c r="A430" t="inlineStr">
        <is>
          <t>A 18719-2026</t>
        </is>
      </c>
      <c r="B430" s="1" t="n">
        <v>46128.4693287037</v>
      </c>
      <c r="C430" s="1" t="n">
        <v>46158</v>
      </c>
      <c r="D430" t="inlineStr">
        <is>
          <t>VÄSTERBOTTENS LÄN</t>
        </is>
      </c>
      <c r="E430" t="inlineStr">
        <is>
          <t>NORSJÖ</t>
        </is>
      </c>
      <c r="G430" t="n">
        <v>6.7</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46158</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12383-2026</t>
        </is>
      </c>
      <c r="B432" s="1" t="n">
        <v>46090.36493055556</v>
      </c>
      <c r="C432" s="1" t="n">
        <v>46158</v>
      </c>
      <c r="D432" t="inlineStr">
        <is>
          <t>VÄSTERBOTTENS LÄN</t>
        </is>
      </c>
      <c r="E432" t="inlineStr">
        <is>
          <t>NORSJÖ</t>
        </is>
      </c>
      <c r="G432" t="n">
        <v>13.7</v>
      </c>
      <c r="H432" t="n">
        <v>0</v>
      </c>
      <c r="I432" t="n">
        <v>0</v>
      </c>
      <c r="J432" t="n">
        <v>0</v>
      </c>
      <c r="K432" t="n">
        <v>0</v>
      </c>
      <c r="L432" t="n">
        <v>0</v>
      </c>
      <c r="M432" t="n">
        <v>0</v>
      </c>
      <c r="N432" t="n">
        <v>0</v>
      </c>
      <c r="O432" t="n">
        <v>0</v>
      </c>
      <c r="P432" t="n">
        <v>0</v>
      </c>
      <c r="Q432" t="n">
        <v>0</v>
      </c>
      <c r="R432" s="2" t="inlineStr"/>
    </row>
    <row r="433" ht="15" customHeight="1">
      <c r="A433" t="inlineStr">
        <is>
          <t>A 31281-2023</t>
        </is>
      </c>
      <c r="B433" s="1" t="n">
        <v>45114</v>
      </c>
      <c r="C433" s="1" t="n">
        <v>46158</v>
      </c>
      <c r="D433" t="inlineStr">
        <is>
          <t>VÄSTERBOTTENS LÄN</t>
        </is>
      </c>
      <c r="E433" t="inlineStr">
        <is>
          <t>NORSJÖ</t>
        </is>
      </c>
      <c r="G433" t="n">
        <v>6.4</v>
      </c>
      <c r="H433" t="n">
        <v>0</v>
      </c>
      <c r="I433" t="n">
        <v>0</v>
      </c>
      <c r="J433" t="n">
        <v>0</v>
      </c>
      <c r="K433" t="n">
        <v>0</v>
      </c>
      <c r="L433" t="n">
        <v>0</v>
      </c>
      <c r="M433" t="n">
        <v>0</v>
      </c>
      <c r="N433" t="n">
        <v>0</v>
      </c>
      <c r="O433" t="n">
        <v>0</v>
      </c>
      <c r="P433" t="n">
        <v>0</v>
      </c>
      <c r="Q433" t="n">
        <v>0</v>
      </c>
      <c r="R433" s="2" t="inlineStr"/>
    </row>
    <row r="434" ht="15" customHeight="1">
      <c r="A434" t="inlineStr">
        <is>
          <t>A 45697-2024</t>
        </is>
      </c>
      <c r="B434" s="1" t="n">
        <v>45579.55914351852</v>
      </c>
      <c r="C434" s="1" t="n">
        <v>46158</v>
      </c>
      <c r="D434" t="inlineStr">
        <is>
          <t>VÄSTERBOTTENS LÄN</t>
        </is>
      </c>
      <c r="E434" t="inlineStr">
        <is>
          <t>NORSJÖ</t>
        </is>
      </c>
      <c r="G434" t="n">
        <v>1.9</v>
      </c>
      <c r="H434" t="n">
        <v>0</v>
      </c>
      <c r="I434" t="n">
        <v>0</v>
      </c>
      <c r="J434" t="n">
        <v>0</v>
      </c>
      <c r="K434" t="n">
        <v>0</v>
      </c>
      <c r="L434" t="n">
        <v>0</v>
      </c>
      <c r="M434" t="n">
        <v>0</v>
      </c>
      <c r="N434" t="n">
        <v>0</v>
      </c>
      <c r="O434" t="n">
        <v>0</v>
      </c>
      <c r="P434" t="n">
        <v>0</v>
      </c>
      <c r="Q434" t="n">
        <v>0</v>
      </c>
      <c r="R434" s="2" t="inlineStr"/>
    </row>
    <row r="435" ht="15" customHeight="1">
      <c r="A435" t="inlineStr">
        <is>
          <t>A 11385-2026</t>
        </is>
      </c>
      <c r="B435" s="1" t="n">
        <v>46083</v>
      </c>
      <c r="C435" s="1" t="n">
        <v>46158</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46158</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46158</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46158</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46158</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6619-2023</t>
        </is>
      </c>
      <c r="B440" s="1" t="n">
        <v>44963</v>
      </c>
      <c r="C440" s="1" t="n">
        <v>46158</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25352-2024</t>
        </is>
      </c>
      <c r="B441" s="1" t="n">
        <v>45462</v>
      </c>
      <c r="C441" s="1" t="n">
        <v>46158</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63424-2023</t>
        </is>
      </c>
      <c r="B442" s="1" t="n">
        <v>45274</v>
      </c>
      <c r="C442" s="1" t="n">
        <v>46158</v>
      </c>
      <c r="D442" t="inlineStr">
        <is>
          <t>VÄSTERBOTTENS LÄN</t>
        </is>
      </c>
      <c r="E442" t="inlineStr">
        <is>
          <t>NORSJÖ</t>
        </is>
      </c>
      <c r="F442" t="inlineStr">
        <is>
          <t>Sveaskog</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13111-2026</t>
        </is>
      </c>
      <c r="B443" s="1" t="n">
        <v>46093.42815972222</v>
      </c>
      <c r="C443" s="1" t="n">
        <v>46158</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45990-2024</t>
        </is>
      </c>
      <c r="B444" s="1" t="n">
        <v>45580.62873842593</v>
      </c>
      <c r="C444" s="1" t="n">
        <v>46158</v>
      </c>
      <c r="D444" t="inlineStr">
        <is>
          <t>VÄSTERBOTTENS LÄN</t>
        </is>
      </c>
      <c r="E444" t="inlineStr">
        <is>
          <t>NORSJÖ</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37496-2024</t>
        </is>
      </c>
      <c r="B445" s="1" t="n">
        <v>45541.36414351852</v>
      </c>
      <c r="C445" s="1" t="n">
        <v>46158</v>
      </c>
      <c r="D445" t="inlineStr">
        <is>
          <t>VÄSTERBOTTENS LÄN</t>
        </is>
      </c>
      <c r="E445" t="inlineStr">
        <is>
          <t>NORSJÖ</t>
        </is>
      </c>
      <c r="F445" t="inlineStr">
        <is>
          <t>Holmen skog AB</t>
        </is>
      </c>
      <c r="G445" t="n">
        <v>5.9</v>
      </c>
      <c r="H445" t="n">
        <v>0</v>
      </c>
      <c r="I445" t="n">
        <v>0</v>
      </c>
      <c r="J445" t="n">
        <v>0</v>
      </c>
      <c r="K445" t="n">
        <v>0</v>
      </c>
      <c r="L445" t="n">
        <v>0</v>
      </c>
      <c r="M445" t="n">
        <v>0</v>
      </c>
      <c r="N445" t="n">
        <v>0</v>
      </c>
      <c r="O445" t="n">
        <v>0</v>
      </c>
      <c r="P445" t="n">
        <v>0</v>
      </c>
      <c r="Q445" t="n">
        <v>0</v>
      </c>
      <c r="R445" s="2" t="inlineStr"/>
    </row>
    <row r="446" ht="15" customHeight="1">
      <c r="A446" t="inlineStr">
        <is>
          <t>A 25030-2023</t>
        </is>
      </c>
      <c r="B446" s="1" t="n">
        <v>45085.92760416667</v>
      </c>
      <c r="C446" s="1" t="n">
        <v>46158</v>
      </c>
      <c r="D446" t="inlineStr">
        <is>
          <t>VÄSTERBOTTENS LÄN</t>
        </is>
      </c>
      <c r="E446" t="inlineStr">
        <is>
          <t>NORSJÖ</t>
        </is>
      </c>
      <c r="G446" t="n">
        <v>2.7</v>
      </c>
      <c r="H446" t="n">
        <v>0</v>
      </c>
      <c r="I446" t="n">
        <v>0</v>
      </c>
      <c r="J446" t="n">
        <v>0</v>
      </c>
      <c r="K446" t="n">
        <v>0</v>
      </c>
      <c r="L446" t="n">
        <v>0</v>
      </c>
      <c r="M446" t="n">
        <v>0</v>
      </c>
      <c r="N446" t="n">
        <v>0</v>
      </c>
      <c r="O446" t="n">
        <v>0</v>
      </c>
      <c r="P446" t="n">
        <v>0</v>
      </c>
      <c r="Q446" t="n">
        <v>0</v>
      </c>
      <c r="R446" s="2" t="inlineStr"/>
    </row>
    <row r="447" ht="15" customHeight="1">
      <c r="A447" t="inlineStr">
        <is>
          <t>A 34945-2024</t>
        </is>
      </c>
      <c r="B447" s="1" t="n">
        <v>45527.46944444445</v>
      </c>
      <c r="C447" s="1" t="n">
        <v>46158</v>
      </c>
      <c r="D447" t="inlineStr">
        <is>
          <t>VÄSTERBOTTENS LÄN</t>
        </is>
      </c>
      <c r="E447" t="inlineStr">
        <is>
          <t>NORSJÖ</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41966-2024</t>
        </is>
      </c>
      <c r="B448" s="1" t="n">
        <v>45561.59516203704</v>
      </c>
      <c r="C448" s="1" t="n">
        <v>46158</v>
      </c>
      <c r="D448" t="inlineStr">
        <is>
          <t>VÄSTERBOTTENS LÄN</t>
        </is>
      </c>
      <c r="E448" t="inlineStr">
        <is>
          <t>NORSJÖ</t>
        </is>
      </c>
      <c r="G448" t="n">
        <v>1.2</v>
      </c>
      <c r="H448" t="n">
        <v>0</v>
      </c>
      <c r="I448" t="n">
        <v>0</v>
      </c>
      <c r="J448" t="n">
        <v>0</v>
      </c>
      <c r="K448" t="n">
        <v>0</v>
      </c>
      <c r="L448" t="n">
        <v>0</v>
      </c>
      <c r="M448" t="n">
        <v>0</v>
      </c>
      <c r="N448" t="n">
        <v>0</v>
      </c>
      <c r="O448" t="n">
        <v>0</v>
      </c>
      <c r="P448" t="n">
        <v>0</v>
      </c>
      <c r="Q448" t="n">
        <v>0</v>
      </c>
      <c r="R448" s="2" t="inlineStr"/>
    </row>
    <row r="449" ht="15" customHeight="1">
      <c r="A449" t="inlineStr">
        <is>
          <t>A 20064-2026</t>
        </is>
      </c>
      <c r="B449" s="1" t="n">
        <v>46136.5908912037</v>
      </c>
      <c r="C449" s="1" t="n">
        <v>46158</v>
      </c>
      <c r="D449" t="inlineStr">
        <is>
          <t>VÄSTERBOTTENS LÄN</t>
        </is>
      </c>
      <c r="E449" t="inlineStr">
        <is>
          <t>NORSJÖ</t>
        </is>
      </c>
      <c r="F449" t="inlineStr">
        <is>
          <t>Holmen skog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46158</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46158</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46158</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46158</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46158</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46158</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46158</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25734-2023</t>
        </is>
      </c>
      <c r="B457" s="1" t="n">
        <v>45090.41349537037</v>
      </c>
      <c r="C457" s="1" t="n">
        <v>46158</v>
      </c>
      <c r="D457" t="inlineStr">
        <is>
          <t>VÄSTERBOTTENS LÄN</t>
        </is>
      </c>
      <c r="E457" t="inlineStr">
        <is>
          <t>NORSJÖ</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20997-2026</t>
        </is>
      </c>
      <c r="B458" s="1" t="n">
        <v>46142.62774305556</v>
      </c>
      <c r="C458" s="1" t="n">
        <v>46158</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21015-2026</t>
        </is>
      </c>
      <c r="B459" s="1" t="n">
        <v>46143.62471064815</v>
      </c>
      <c r="C459" s="1" t="n">
        <v>46158</v>
      </c>
      <c r="D459" t="inlineStr">
        <is>
          <t>VÄSTERBOTTENS LÄN</t>
        </is>
      </c>
      <c r="E459" t="inlineStr">
        <is>
          <t>NORSJÖ</t>
        </is>
      </c>
      <c r="F459" t="inlineStr">
        <is>
          <t>Holmen skog AB</t>
        </is>
      </c>
      <c r="G459" t="n">
        <v>22.8</v>
      </c>
      <c r="H459" t="n">
        <v>0</v>
      </c>
      <c r="I459" t="n">
        <v>0</v>
      </c>
      <c r="J459" t="n">
        <v>0</v>
      </c>
      <c r="K459" t="n">
        <v>0</v>
      </c>
      <c r="L459" t="n">
        <v>0</v>
      </c>
      <c r="M459" t="n">
        <v>0</v>
      </c>
      <c r="N459" t="n">
        <v>0</v>
      </c>
      <c r="O459" t="n">
        <v>0</v>
      </c>
      <c r="P459" t="n">
        <v>0</v>
      </c>
      <c r="Q459" t="n">
        <v>0</v>
      </c>
      <c r="R459" s="2" t="inlineStr"/>
    </row>
    <row r="460" ht="15" customHeight="1">
      <c r="A460" t="inlineStr">
        <is>
          <t>A 14603-2026</t>
        </is>
      </c>
      <c r="B460" s="1" t="n">
        <v>46101</v>
      </c>
      <c r="C460" s="1" t="n">
        <v>46158</v>
      </c>
      <c r="D460" t="inlineStr">
        <is>
          <t>VÄSTERBOTTENS LÄN</t>
        </is>
      </c>
      <c r="E460" t="inlineStr">
        <is>
          <t>NORSJÖ</t>
        </is>
      </c>
      <c r="G460" t="n">
        <v>6.4</v>
      </c>
      <c r="H460" t="n">
        <v>0</v>
      </c>
      <c r="I460" t="n">
        <v>0</v>
      </c>
      <c r="J460" t="n">
        <v>0</v>
      </c>
      <c r="K460" t="n">
        <v>0</v>
      </c>
      <c r="L460" t="n">
        <v>0</v>
      </c>
      <c r="M460" t="n">
        <v>0</v>
      </c>
      <c r="N460" t="n">
        <v>0</v>
      </c>
      <c r="O460" t="n">
        <v>0</v>
      </c>
      <c r="P460" t="n">
        <v>0</v>
      </c>
      <c r="Q460" t="n">
        <v>0</v>
      </c>
      <c r="R460" s="2" t="inlineStr"/>
    </row>
    <row r="461" ht="15" customHeight="1">
      <c r="A461" t="inlineStr">
        <is>
          <t>A 20998-2026</t>
        </is>
      </c>
      <c r="B461" s="1" t="n">
        <v>46142.63078703704</v>
      </c>
      <c r="C461" s="1" t="n">
        <v>46158</v>
      </c>
      <c r="D461" t="inlineStr">
        <is>
          <t>VÄSTERBOTTENS LÄN</t>
        </is>
      </c>
      <c r="E461" t="inlineStr">
        <is>
          <t>NORSJÖ</t>
        </is>
      </c>
      <c r="G461" t="n">
        <v>0.4</v>
      </c>
      <c r="H461" t="n">
        <v>0</v>
      </c>
      <c r="I461" t="n">
        <v>0</v>
      </c>
      <c r="J461" t="n">
        <v>0</v>
      </c>
      <c r="K461" t="n">
        <v>0</v>
      </c>
      <c r="L461" t="n">
        <v>0</v>
      </c>
      <c r="M461" t="n">
        <v>0</v>
      </c>
      <c r="N461" t="n">
        <v>0</v>
      </c>
      <c r="O461" t="n">
        <v>0</v>
      </c>
      <c r="P461" t="n">
        <v>0</v>
      </c>
      <c r="Q461" t="n">
        <v>0</v>
      </c>
      <c r="R461" s="2" t="inlineStr"/>
    </row>
    <row r="462" ht="15" customHeight="1">
      <c r="A462" t="inlineStr">
        <is>
          <t>A 16407-2024</t>
        </is>
      </c>
      <c r="B462" s="1" t="n">
        <v>45407.63806712963</v>
      </c>
      <c r="C462" s="1" t="n">
        <v>46158</v>
      </c>
      <c r="D462" t="inlineStr">
        <is>
          <t>VÄSTERBOTTENS LÄN</t>
        </is>
      </c>
      <c r="E462" t="inlineStr">
        <is>
          <t>NORSJÖ</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15228-2026</t>
        </is>
      </c>
      <c r="B463" s="1" t="n">
        <v>46105.54898148148</v>
      </c>
      <c r="C463" s="1" t="n">
        <v>46158</v>
      </c>
      <c r="D463" t="inlineStr">
        <is>
          <t>VÄSTERBOTTENS LÄN</t>
        </is>
      </c>
      <c r="E463" t="inlineStr">
        <is>
          <t>NORSJÖ</t>
        </is>
      </c>
      <c r="G463" t="n">
        <v>7.3</v>
      </c>
      <c r="H463" t="n">
        <v>0</v>
      </c>
      <c r="I463" t="n">
        <v>0</v>
      </c>
      <c r="J463" t="n">
        <v>0</v>
      </c>
      <c r="K463" t="n">
        <v>0</v>
      </c>
      <c r="L463" t="n">
        <v>0</v>
      </c>
      <c r="M463" t="n">
        <v>0</v>
      </c>
      <c r="N463" t="n">
        <v>0</v>
      </c>
      <c r="O463" t="n">
        <v>0</v>
      </c>
      <c r="P463" t="n">
        <v>0</v>
      </c>
      <c r="Q463" t="n">
        <v>0</v>
      </c>
      <c r="R463" s="2" t="inlineStr"/>
    </row>
    <row r="464" ht="15" customHeight="1">
      <c r="A464" t="inlineStr">
        <is>
          <t>A 15229-2026</t>
        </is>
      </c>
      <c r="B464" s="1" t="n">
        <v>46105.54980324074</v>
      </c>
      <c r="C464" s="1" t="n">
        <v>46158</v>
      </c>
      <c r="D464" t="inlineStr">
        <is>
          <t>VÄSTERBOTTENS LÄN</t>
        </is>
      </c>
      <c r="E464" t="inlineStr">
        <is>
          <t>NORSJÖ</t>
        </is>
      </c>
      <c r="G464" t="n">
        <v>3.4</v>
      </c>
      <c r="H464" t="n">
        <v>0</v>
      </c>
      <c r="I464" t="n">
        <v>0</v>
      </c>
      <c r="J464" t="n">
        <v>0</v>
      </c>
      <c r="K464" t="n">
        <v>0</v>
      </c>
      <c r="L464" t="n">
        <v>0</v>
      </c>
      <c r="M464" t="n">
        <v>0</v>
      </c>
      <c r="N464" t="n">
        <v>0</v>
      </c>
      <c r="O464" t="n">
        <v>0</v>
      </c>
      <c r="P464" t="n">
        <v>0</v>
      </c>
      <c r="Q464" t="n">
        <v>0</v>
      </c>
      <c r="R464" s="2" t="inlineStr"/>
    </row>
    <row r="465" ht="15" customHeight="1">
      <c r="A465" t="inlineStr">
        <is>
          <t>A 48954-2024</t>
        </is>
      </c>
      <c r="B465" s="1" t="n">
        <v>45594.43673611111</v>
      </c>
      <c r="C465" s="1" t="n">
        <v>46158</v>
      </c>
      <c r="D465" t="inlineStr">
        <is>
          <t>VÄSTERBOTTENS LÄN</t>
        </is>
      </c>
      <c r="E465" t="inlineStr">
        <is>
          <t>NORSJÖ</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56498-2024</t>
        </is>
      </c>
      <c r="B466" s="1" t="n">
        <v>45625.49637731481</v>
      </c>
      <c r="C466" s="1" t="n">
        <v>46158</v>
      </c>
      <c r="D466" t="inlineStr">
        <is>
          <t>VÄSTERBOTTENS LÄN</t>
        </is>
      </c>
      <c r="E466" t="inlineStr">
        <is>
          <t>NORSJÖ</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32234-2024</t>
        </is>
      </c>
      <c r="B467" s="1" t="n">
        <v>45511.92890046296</v>
      </c>
      <c r="C467" s="1" t="n">
        <v>46158</v>
      </c>
      <c r="D467" t="inlineStr">
        <is>
          <t>VÄSTERBOTTENS LÄN</t>
        </is>
      </c>
      <c r="E467" t="inlineStr">
        <is>
          <t>NORSJÖ</t>
        </is>
      </c>
      <c r="G467" t="n">
        <v>10.9</v>
      </c>
      <c r="H467" t="n">
        <v>0</v>
      </c>
      <c r="I467" t="n">
        <v>0</v>
      </c>
      <c r="J467" t="n">
        <v>0</v>
      </c>
      <c r="K467" t="n">
        <v>0</v>
      </c>
      <c r="L467" t="n">
        <v>0</v>
      </c>
      <c r="M467" t="n">
        <v>0</v>
      </c>
      <c r="N467" t="n">
        <v>0</v>
      </c>
      <c r="O467" t="n">
        <v>0</v>
      </c>
      <c r="P467" t="n">
        <v>0</v>
      </c>
      <c r="Q467" t="n">
        <v>0</v>
      </c>
      <c r="R467" s="2" t="inlineStr"/>
    </row>
    <row r="468" ht="15" customHeight="1">
      <c r="A468" t="inlineStr">
        <is>
          <t>A 32241-2024</t>
        </is>
      </c>
      <c r="B468" s="1" t="n">
        <v>45511.92940972222</v>
      </c>
      <c r="C468" s="1" t="n">
        <v>46158</v>
      </c>
      <c r="D468" t="inlineStr">
        <is>
          <t>VÄSTERBOTTENS LÄN</t>
        </is>
      </c>
      <c r="E468" t="inlineStr">
        <is>
          <t>NORSJÖ</t>
        </is>
      </c>
      <c r="G468" t="n">
        <v>2.2</v>
      </c>
      <c r="H468" t="n">
        <v>0</v>
      </c>
      <c r="I468" t="n">
        <v>0</v>
      </c>
      <c r="J468" t="n">
        <v>0</v>
      </c>
      <c r="K468" t="n">
        <v>0</v>
      </c>
      <c r="L468" t="n">
        <v>0</v>
      </c>
      <c r="M468" t="n">
        <v>0</v>
      </c>
      <c r="N468" t="n">
        <v>0</v>
      </c>
      <c r="O468" t="n">
        <v>0</v>
      </c>
      <c r="P468" t="n">
        <v>0</v>
      </c>
      <c r="Q468" t="n">
        <v>0</v>
      </c>
      <c r="R468" s="2" t="inlineStr"/>
    </row>
    <row r="469" ht="15" customHeight="1">
      <c r="A469" t="inlineStr">
        <is>
          <t>A 15225-2026</t>
        </is>
      </c>
      <c r="B469" s="1" t="n">
        <v>46105.54846064815</v>
      </c>
      <c r="C469" s="1" t="n">
        <v>46158</v>
      </c>
      <c r="D469" t="inlineStr">
        <is>
          <t>VÄSTERBOTTENS LÄN</t>
        </is>
      </c>
      <c r="E469" t="inlineStr">
        <is>
          <t>NORSJÖ</t>
        </is>
      </c>
      <c r="G469" t="n">
        <v>1.5</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46158</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46158</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46158</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21669-2026</t>
        </is>
      </c>
      <c r="B473" s="1" t="n">
        <v>46149.47613425926</v>
      </c>
      <c r="C473" s="1" t="n">
        <v>46158</v>
      </c>
      <c r="D473" t="inlineStr">
        <is>
          <t>VÄSTERBOTTENS LÄN</t>
        </is>
      </c>
      <c r="E473" t="inlineStr">
        <is>
          <t>NORSJÖ</t>
        </is>
      </c>
      <c r="G473" t="n">
        <v>3.4</v>
      </c>
      <c r="H473" t="n">
        <v>0</v>
      </c>
      <c r="I473" t="n">
        <v>0</v>
      </c>
      <c r="J473" t="n">
        <v>0</v>
      </c>
      <c r="K473" t="n">
        <v>0</v>
      </c>
      <c r="L473" t="n">
        <v>0</v>
      </c>
      <c r="M473" t="n">
        <v>0</v>
      </c>
      <c r="N473" t="n">
        <v>0</v>
      </c>
      <c r="O473" t="n">
        <v>0</v>
      </c>
      <c r="P473" t="n">
        <v>0</v>
      </c>
      <c r="Q473" t="n">
        <v>0</v>
      </c>
      <c r="R473" s="2" t="inlineStr"/>
    </row>
    <row r="474" ht="15" customHeight="1">
      <c r="A474" t="inlineStr">
        <is>
          <t>A 21571-2026</t>
        </is>
      </c>
      <c r="B474" s="1" t="n">
        <v>46148.67797453704</v>
      </c>
      <c r="C474" s="1" t="n">
        <v>46158</v>
      </c>
      <c r="D474" t="inlineStr">
        <is>
          <t>VÄSTERBOTTENS LÄN</t>
        </is>
      </c>
      <c r="E474" t="inlineStr">
        <is>
          <t>NORSJÖ</t>
        </is>
      </c>
      <c r="G474" t="n">
        <v>7</v>
      </c>
      <c r="H474" t="n">
        <v>0</v>
      </c>
      <c r="I474" t="n">
        <v>0</v>
      </c>
      <c r="J474" t="n">
        <v>0</v>
      </c>
      <c r="K474" t="n">
        <v>0</v>
      </c>
      <c r="L474" t="n">
        <v>0</v>
      </c>
      <c r="M474" t="n">
        <v>0</v>
      </c>
      <c r="N474" t="n">
        <v>0</v>
      </c>
      <c r="O474" t="n">
        <v>0</v>
      </c>
      <c r="P474" t="n">
        <v>0</v>
      </c>
      <c r="Q474" t="n">
        <v>0</v>
      </c>
      <c r="R474" s="2" t="inlineStr"/>
    </row>
    <row r="475" ht="15" customHeight="1">
      <c r="A475" t="inlineStr">
        <is>
          <t>A 21573-2026</t>
        </is>
      </c>
      <c r="B475" s="1" t="n">
        <v>46148.68145833333</v>
      </c>
      <c r="C475" s="1" t="n">
        <v>46158</v>
      </c>
      <c r="D475" t="inlineStr">
        <is>
          <t>VÄSTERBOTTENS LÄN</t>
        </is>
      </c>
      <c r="E475" t="inlineStr">
        <is>
          <t>NORSJÖ</t>
        </is>
      </c>
      <c r="G475" t="n">
        <v>5.5</v>
      </c>
      <c r="H475" t="n">
        <v>0</v>
      </c>
      <c r="I475" t="n">
        <v>0</v>
      </c>
      <c r="J475" t="n">
        <v>0</v>
      </c>
      <c r="K475" t="n">
        <v>0</v>
      </c>
      <c r="L475" t="n">
        <v>0</v>
      </c>
      <c r="M475" t="n">
        <v>0</v>
      </c>
      <c r="N475" t="n">
        <v>0</v>
      </c>
      <c r="O475" t="n">
        <v>0</v>
      </c>
      <c r="P475" t="n">
        <v>0</v>
      </c>
      <c r="Q475" t="n">
        <v>0</v>
      </c>
      <c r="R475" s="2" t="inlineStr"/>
    </row>
    <row r="476" ht="15" customHeight="1">
      <c r="A476" t="inlineStr">
        <is>
          <t>A 38832-2024</t>
        </is>
      </c>
      <c r="B476" s="1" t="n">
        <v>45547</v>
      </c>
      <c r="C476" s="1" t="n">
        <v>46158</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43396-2023</t>
        </is>
      </c>
      <c r="B477" s="1" t="n">
        <v>45183.92153935185</v>
      </c>
      <c r="C477" s="1" t="n">
        <v>46158</v>
      </c>
      <c r="D477" t="inlineStr">
        <is>
          <t>VÄSTERBOTTENS LÄN</t>
        </is>
      </c>
      <c r="E477" t="inlineStr">
        <is>
          <t>NORSJÖ</t>
        </is>
      </c>
      <c r="G477" t="n">
        <v>1</v>
      </c>
      <c r="H477" t="n">
        <v>0</v>
      </c>
      <c r="I477" t="n">
        <v>0</v>
      </c>
      <c r="J477" t="n">
        <v>0</v>
      </c>
      <c r="K477" t="n">
        <v>0</v>
      </c>
      <c r="L477" t="n">
        <v>0</v>
      </c>
      <c r="M477" t="n">
        <v>0</v>
      </c>
      <c r="N477" t="n">
        <v>0</v>
      </c>
      <c r="O477" t="n">
        <v>0</v>
      </c>
      <c r="P477" t="n">
        <v>0</v>
      </c>
      <c r="Q477" t="n">
        <v>0</v>
      </c>
      <c r="R477" s="2" t="inlineStr"/>
    </row>
    <row r="478" ht="15" customHeight="1">
      <c r="A478" t="inlineStr">
        <is>
          <t>A 5772-2025</t>
        </is>
      </c>
      <c r="B478" s="1" t="n">
        <v>45694.59717592593</v>
      </c>
      <c r="C478" s="1" t="n">
        <v>46158</v>
      </c>
      <c r="D478" t="inlineStr">
        <is>
          <t>VÄSTERBOTTENS LÄN</t>
        </is>
      </c>
      <c r="E478" t="inlineStr">
        <is>
          <t>NORSJÖ</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15512-2026</t>
        </is>
      </c>
      <c r="B479" s="1" t="n">
        <v>46106.46916666667</v>
      </c>
      <c r="C479" s="1" t="n">
        <v>46158</v>
      </c>
      <c r="D479" t="inlineStr">
        <is>
          <t>VÄSTERBOTTENS LÄN</t>
        </is>
      </c>
      <c r="E479" t="inlineStr">
        <is>
          <t>NORSJÖ</t>
        </is>
      </c>
      <c r="G479" t="n">
        <v>10.5</v>
      </c>
      <c r="H479" t="n">
        <v>0</v>
      </c>
      <c r="I479" t="n">
        <v>0</v>
      </c>
      <c r="J479" t="n">
        <v>0</v>
      </c>
      <c r="K479" t="n">
        <v>0</v>
      </c>
      <c r="L479" t="n">
        <v>0</v>
      </c>
      <c r="M479" t="n">
        <v>0</v>
      </c>
      <c r="N479" t="n">
        <v>0</v>
      </c>
      <c r="O479" t="n">
        <v>0</v>
      </c>
      <c r="P479" t="n">
        <v>0</v>
      </c>
      <c r="Q479" t="n">
        <v>0</v>
      </c>
      <c r="R479" s="2" t="inlineStr"/>
    </row>
    <row r="480" ht="15" customHeight="1">
      <c r="A480" t="inlineStr">
        <is>
          <t>A 15480-2026</t>
        </is>
      </c>
      <c r="B480" s="1" t="n">
        <v>46106.44849537037</v>
      </c>
      <c r="C480" s="1" t="n">
        <v>46158</v>
      </c>
      <c r="D480" t="inlineStr">
        <is>
          <t>VÄSTERBOTTENS LÄN</t>
        </is>
      </c>
      <c r="E480" t="inlineStr">
        <is>
          <t>NORSJÖ</t>
        </is>
      </c>
      <c r="G480" t="n">
        <v>3</v>
      </c>
      <c r="H480" t="n">
        <v>0</v>
      </c>
      <c r="I480" t="n">
        <v>0</v>
      </c>
      <c r="J480" t="n">
        <v>0</v>
      </c>
      <c r="K480" t="n">
        <v>0</v>
      </c>
      <c r="L480" t="n">
        <v>0</v>
      </c>
      <c r="M480" t="n">
        <v>0</v>
      </c>
      <c r="N480" t="n">
        <v>0</v>
      </c>
      <c r="O480" t="n">
        <v>0</v>
      </c>
      <c r="P480" t="n">
        <v>0</v>
      </c>
      <c r="Q480" t="n">
        <v>0</v>
      </c>
      <c r="R480" s="2" t="inlineStr"/>
    </row>
    <row r="481" ht="15" customHeight="1">
      <c r="A481" t="inlineStr">
        <is>
          <t>A 891-2025</t>
        </is>
      </c>
      <c r="B481" s="1" t="n">
        <v>45665.65660879629</v>
      </c>
      <c r="C481" s="1" t="n">
        <v>46158</v>
      </c>
      <c r="D481" t="inlineStr">
        <is>
          <t>VÄSTERBOTTENS LÄN</t>
        </is>
      </c>
      <c r="E481" t="inlineStr">
        <is>
          <t>NORSJÖ</t>
        </is>
      </c>
      <c r="F481" t="inlineStr">
        <is>
          <t>Holmen skog AB</t>
        </is>
      </c>
      <c r="G481" t="n">
        <v>5.7</v>
      </c>
      <c r="H481" t="n">
        <v>0</v>
      </c>
      <c r="I481" t="n">
        <v>0</v>
      </c>
      <c r="J481" t="n">
        <v>0</v>
      </c>
      <c r="K481" t="n">
        <v>0</v>
      </c>
      <c r="L481" t="n">
        <v>0</v>
      </c>
      <c r="M481" t="n">
        <v>0</v>
      </c>
      <c r="N481" t="n">
        <v>0</v>
      </c>
      <c r="O481" t="n">
        <v>0</v>
      </c>
      <c r="P481" t="n">
        <v>0</v>
      </c>
      <c r="Q481" t="n">
        <v>0</v>
      </c>
      <c r="R481" s="2" t="inlineStr"/>
    </row>
    <row r="482" ht="15" customHeight="1">
      <c r="A482" t="inlineStr">
        <is>
          <t>A 15905-2026</t>
        </is>
      </c>
      <c r="B482" s="1" t="n">
        <v>46107</v>
      </c>
      <c r="C482" s="1" t="n">
        <v>46158</v>
      </c>
      <c r="D482" t="inlineStr">
        <is>
          <t>VÄSTERBOTTENS LÄN</t>
        </is>
      </c>
      <c r="E482" t="inlineStr">
        <is>
          <t>NORSJÖ</t>
        </is>
      </c>
      <c r="G482" t="n">
        <v>16.3</v>
      </c>
      <c r="H482" t="n">
        <v>0</v>
      </c>
      <c r="I482" t="n">
        <v>0</v>
      </c>
      <c r="J482" t="n">
        <v>0</v>
      </c>
      <c r="K482" t="n">
        <v>0</v>
      </c>
      <c r="L482" t="n">
        <v>0</v>
      </c>
      <c r="M482" t="n">
        <v>0</v>
      </c>
      <c r="N482" t="n">
        <v>0</v>
      </c>
      <c r="O482" t="n">
        <v>0</v>
      </c>
      <c r="P482" t="n">
        <v>0</v>
      </c>
      <c r="Q482" t="n">
        <v>0</v>
      </c>
      <c r="R482" s="2" t="inlineStr"/>
    </row>
    <row r="483" ht="15" customHeight="1">
      <c r="A483" t="inlineStr">
        <is>
          <t>A 8159-2025</t>
        </is>
      </c>
      <c r="B483" s="1" t="n">
        <v>45708.34431712963</v>
      </c>
      <c r="C483" s="1" t="n">
        <v>46158</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16659-2025</t>
        </is>
      </c>
      <c r="B484" s="1" t="n">
        <v>45754.41245370371</v>
      </c>
      <c r="C484" s="1" t="n">
        <v>46158</v>
      </c>
      <c r="D484" t="inlineStr">
        <is>
          <t>VÄSTERBOTTENS LÄN</t>
        </is>
      </c>
      <c r="E484" t="inlineStr">
        <is>
          <t>NORSJÖ</t>
        </is>
      </c>
      <c r="G484" t="n">
        <v>3.9</v>
      </c>
      <c r="H484" t="n">
        <v>0</v>
      </c>
      <c r="I484" t="n">
        <v>0</v>
      </c>
      <c r="J484" t="n">
        <v>0</v>
      </c>
      <c r="K484" t="n">
        <v>0</v>
      </c>
      <c r="L484" t="n">
        <v>0</v>
      </c>
      <c r="M484" t="n">
        <v>0</v>
      </c>
      <c r="N484" t="n">
        <v>0</v>
      </c>
      <c r="O484" t="n">
        <v>0</v>
      </c>
      <c r="P484" t="n">
        <v>0</v>
      </c>
      <c r="Q484" t="n">
        <v>0</v>
      </c>
      <c r="R484" s="2" t="inlineStr"/>
    </row>
    <row r="485" ht="15" customHeight="1">
      <c r="A485" t="inlineStr">
        <is>
          <t>A 15904-2026</t>
        </is>
      </c>
      <c r="B485" s="1" t="n">
        <v>46107.636875</v>
      </c>
      <c r="C485" s="1" t="n">
        <v>46158</v>
      </c>
      <c r="D485" t="inlineStr">
        <is>
          <t>VÄSTERBOTTENS LÄN</t>
        </is>
      </c>
      <c r="E485" t="inlineStr">
        <is>
          <t>NORSJÖ</t>
        </is>
      </c>
      <c r="G485" t="n">
        <v>5.8</v>
      </c>
      <c r="H485" t="n">
        <v>0</v>
      </c>
      <c r="I485" t="n">
        <v>0</v>
      </c>
      <c r="J485" t="n">
        <v>0</v>
      </c>
      <c r="K485" t="n">
        <v>0</v>
      </c>
      <c r="L485" t="n">
        <v>0</v>
      </c>
      <c r="M485" t="n">
        <v>0</v>
      </c>
      <c r="N485" t="n">
        <v>0</v>
      </c>
      <c r="O485" t="n">
        <v>0</v>
      </c>
      <c r="P485" t="n">
        <v>0</v>
      </c>
      <c r="Q485" t="n">
        <v>0</v>
      </c>
      <c r="R485" s="2" t="inlineStr"/>
    </row>
    <row r="486" ht="15" customHeight="1">
      <c r="A486" t="inlineStr">
        <is>
          <t>A 22119-2026</t>
        </is>
      </c>
      <c r="B486" s="1" t="n">
        <v>46153.57318287037</v>
      </c>
      <c r="C486" s="1" t="n">
        <v>46158</v>
      </c>
      <c r="D486" t="inlineStr">
        <is>
          <t>VÄSTERBOTTENS LÄN</t>
        </is>
      </c>
      <c r="E486" t="inlineStr">
        <is>
          <t>NORSJÖ</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57476-2024</t>
        </is>
      </c>
      <c r="B487" s="1" t="n">
        <v>45630.34612268519</v>
      </c>
      <c r="C487" s="1" t="n">
        <v>46158</v>
      </c>
      <c r="D487" t="inlineStr">
        <is>
          <t>VÄSTERBOTTENS LÄN</t>
        </is>
      </c>
      <c r="E487" t="inlineStr">
        <is>
          <t>NORSJÖ</t>
        </is>
      </c>
      <c r="F487" t="inlineStr">
        <is>
          <t>Holmen skog AB</t>
        </is>
      </c>
      <c r="G487" t="n">
        <v>23.7</v>
      </c>
      <c r="H487" t="n">
        <v>0</v>
      </c>
      <c r="I487" t="n">
        <v>0</v>
      </c>
      <c r="J487" t="n">
        <v>0</v>
      </c>
      <c r="K487" t="n">
        <v>0</v>
      </c>
      <c r="L487" t="n">
        <v>0</v>
      </c>
      <c r="M487" t="n">
        <v>0</v>
      </c>
      <c r="N487" t="n">
        <v>0</v>
      </c>
      <c r="O487" t="n">
        <v>0</v>
      </c>
      <c r="P487" t="n">
        <v>0</v>
      </c>
      <c r="Q487" t="n">
        <v>0</v>
      </c>
      <c r="R487" s="2" t="inlineStr"/>
    </row>
    <row r="488" ht="15" customHeight="1">
      <c r="A488" t="inlineStr">
        <is>
          <t>A 22122-2026</t>
        </is>
      </c>
      <c r="B488" s="1" t="n">
        <v>46153.58202546297</v>
      </c>
      <c r="C488" s="1" t="n">
        <v>46158</v>
      </c>
      <c r="D488" t="inlineStr">
        <is>
          <t>VÄSTERBOTTENS LÄN</t>
        </is>
      </c>
      <c r="E488" t="inlineStr">
        <is>
          <t>NORSJÖ</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44771-2024</t>
        </is>
      </c>
      <c r="B489" s="1" t="n">
        <v>45574</v>
      </c>
      <c r="C489" s="1" t="n">
        <v>46158</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16294-2022</t>
        </is>
      </c>
      <c r="B490" s="1" t="n">
        <v>44670.54792824074</v>
      </c>
      <c r="C490" s="1" t="n">
        <v>46158</v>
      </c>
      <c r="D490" t="inlineStr">
        <is>
          <t>VÄSTERBOTTENS LÄN</t>
        </is>
      </c>
      <c r="E490" t="inlineStr">
        <is>
          <t>NORSJÖ</t>
        </is>
      </c>
      <c r="G490" t="n">
        <v>1</v>
      </c>
      <c r="H490" t="n">
        <v>0</v>
      </c>
      <c r="I490" t="n">
        <v>0</v>
      </c>
      <c r="J490" t="n">
        <v>0</v>
      </c>
      <c r="K490" t="n">
        <v>0</v>
      </c>
      <c r="L490" t="n">
        <v>0</v>
      </c>
      <c r="M490" t="n">
        <v>0</v>
      </c>
      <c r="N490" t="n">
        <v>0</v>
      </c>
      <c r="O490" t="n">
        <v>0</v>
      </c>
      <c r="P490" t="n">
        <v>0</v>
      </c>
      <c r="Q490" t="n">
        <v>0</v>
      </c>
      <c r="R490" s="2" t="inlineStr"/>
    </row>
    <row r="491" ht="15" customHeight="1">
      <c r="A491" t="inlineStr">
        <is>
          <t>A 21875-2026</t>
        </is>
      </c>
      <c r="B491" s="1" t="n">
        <v>46150.58548611111</v>
      </c>
      <c r="C491" s="1" t="n">
        <v>46158</v>
      </c>
      <c r="D491" t="inlineStr">
        <is>
          <t>VÄSTERBOTTENS LÄN</t>
        </is>
      </c>
      <c r="E491" t="inlineStr">
        <is>
          <t>NORSJÖ</t>
        </is>
      </c>
      <c r="G491" t="n">
        <v>2.7</v>
      </c>
      <c r="H491" t="n">
        <v>0</v>
      </c>
      <c r="I491" t="n">
        <v>0</v>
      </c>
      <c r="J491" t="n">
        <v>0</v>
      </c>
      <c r="K491" t="n">
        <v>0</v>
      </c>
      <c r="L491" t="n">
        <v>0</v>
      </c>
      <c r="M491" t="n">
        <v>0</v>
      </c>
      <c r="N491" t="n">
        <v>0</v>
      </c>
      <c r="O491" t="n">
        <v>0</v>
      </c>
      <c r="P491" t="n">
        <v>0</v>
      </c>
      <c r="Q491" t="n">
        <v>0</v>
      </c>
      <c r="R491" s="2" t="inlineStr"/>
    </row>
    <row r="492" ht="15" customHeight="1">
      <c r="A492" t="inlineStr">
        <is>
          <t>A 41552-2023</t>
        </is>
      </c>
      <c r="B492" s="1" t="n">
        <v>45173</v>
      </c>
      <c r="C492" s="1" t="n">
        <v>46158</v>
      </c>
      <c r="D492" t="inlineStr">
        <is>
          <t>VÄSTERBOTTENS LÄN</t>
        </is>
      </c>
      <c r="E492" t="inlineStr">
        <is>
          <t>NORSJÖ</t>
        </is>
      </c>
      <c r="G492" t="n">
        <v>3.6</v>
      </c>
      <c r="H492" t="n">
        <v>0</v>
      </c>
      <c r="I492" t="n">
        <v>0</v>
      </c>
      <c r="J492" t="n">
        <v>0</v>
      </c>
      <c r="K492" t="n">
        <v>0</v>
      </c>
      <c r="L492" t="n">
        <v>0</v>
      </c>
      <c r="M492" t="n">
        <v>0</v>
      </c>
      <c r="N492" t="n">
        <v>0</v>
      </c>
      <c r="O492" t="n">
        <v>0</v>
      </c>
      <c r="P492" t="n">
        <v>0</v>
      </c>
      <c r="Q492" t="n">
        <v>0</v>
      </c>
      <c r="R492" s="2" t="inlineStr"/>
    </row>
    <row r="493" ht="15" customHeight="1">
      <c r="A493" t="inlineStr">
        <is>
          <t>A 18666-2025</t>
        </is>
      </c>
      <c r="B493" s="1" t="n">
        <v>45763.59434027778</v>
      </c>
      <c r="C493" s="1" t="n">
        <v>46158</v>
      </c>
      <c r="D493" t="inlineStr">
        <is>
          <t>VÄSTERBOTTENS LÄN</t>
        </is>
      </c>
      <c r="E493" t="inlineStr">
        <is>
          <t>NORSJÖ</t>
        </is>
      </c>
      <c r="G493" t="n">
        <v>0.7</v>
      </c>
      <c r="H493" t="n">
        <v>0</v>
      </c>
      <c r="I493" t="n">
        <v>0</v>
      </c>
      <c r="J493" t="n">
        <v>0</v>
      </c>
      <c r="K493" t="n">
        <v>0</v>
      </c>
      <c r="L493" t="n">
        <v>0</v>
      </c>
      <c r="M493" t="n">
        <v>0</v>
      </c>
      <c r="N493" t="n">
        <v>0</v>
      </c>
      <c r="O493" t="n">
        <v>0</v>
      </c>
      <c r="P493" t="n">
        <v>0</v>
      </c>
      <c r="Q493" t="n">
        <v>0</v>
      </c>
      <c r="R493" s="2" t="inlineStr"/>
    </row>
    <row r="494" ht="15" customHeight="1">
      <c r="A494" t="inlineStr">
        <is>
          <t>A 18667-2025</t>
        </is>
      </c>
      <c r="B494" s="1" t="n">
        <v>45763.59436342592</v>
      </c>
      <c r="C494" s="1" t="n">
        <v>46158</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18668-2025</t>
        </is>
      </c>
      <c r="B495" s="1" t="n">
        <v>45763.59438657408</v>
      </c>
      <c r="C495" s="1" t="n">
        <v>46158</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16903-2026</t>
        </is>
      </c>
      <c r="B496" s="1" t="n">
        <v>46113.63366898148</v>
      </c>
      <c r="C496" s="1" t="n">
        <v>46158</v>
      </c>
      <c r="D496" t="inlineStr">
        <is>
          <t>VÄSTERBOTTENS LÄN</t>
        </is>
      </c>
      <c r="E496" t="inlineStr">
        <is>
          <t>NORSJÖ</t>
        </is>
      </c>
      <c r="F496" t="inlineStr">
        <is>
          <t>Holmen skog AB</t>
        </is>
      </c>
      <c r="G496" t="n">
        <v>10.5</v>
      </c>
      <c r="H496" t="n">
        <v>0</v>
      </c>
      <c r="I496" t="n">
        <v>0</v>
      </c>
      <c r="J496" t="n">
        <v>0</v>
      </c>
      <c r="K496" t="n">
        <v>0</v>
      </c>
      <c r="L496" t="n">
        <v>0</v>
      </c>
      <c r="M496" t="n">
        <v>0</v>
      </c>
      <c r="N496" t="n">
        <v>0</v>
      </c>
      <c r="O496" t="n">
        <v>0</v>
      </c>
      <c r="P496" t="n">
        <v>0</v>
      </c>
      <c r="Q496" t="n">
        <v>0</v>
      </c>
      <c r="R496" s="2" t="inlineStr"/>
    </row>
    <row r="497" ht="15" customHeight="1">
      <c r="A497" t="inlineStr">
        <is>
          <t>A 46803-2023</t>
        </is>
      </c>
      <c r="B497" s="1" t="n">
        <v>45198</v>
      </c>
      <c r="C497" s="1" t="n">
        <v>46158</v>
      </c>
      <c r="D497" t="inlineStr">
        <is>
          <t>VÄSTERBOTTENS LÄN</t>
        </is>
      </c>
      <c r="E497" t="inlineStr">
        <is>
          <t>NORSJÖ</t>
        </is>
      </c>
      <c r="G497" t="n">
        <v>9.1</v>
      </c>
      <c r="H497" t="n">
        <v>0</v>
      </c>
      <c r="I497" t="n">
        <v>0</v>
      </c>
      <c r="J497" t="n">
        <v>0</v>
      </c>
      <c r="K497" t="n">
        <v>0</v>
      </c>
      <c r="L497" t="n">
        <v>0</v>
      </c>
      <c r="M497" t="n">
        <v>0</v>
      </c>
      <c r="N497" t="n">
        <v>0</v>
      </c>
      <c r="O497" t="n">
        <v>0</v>
      </c>
      <c r="P497" t="n">
        <v>0</v>
      </c>
      <c r="Q497" t="n">
        <v>0</v>
      </c>
      <c r="R497" s="2" t="inlineStr"/>
    </row>
    <row r="498" ht="15" customHeight="1">
      <c r="A498" t="inlineStr">
        <is>
          <t>A 42034-2023</t>
        </is>
      </c>
      <c r="B498" s="1" t="n">
        <v>45177.50577546296</v>
      </c>
      <c r="C498" s="1" t="n">
        <v>46158</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48549-2023</t>
        </is>
      </c>
      <c r="B499" s="1" t="n">
        <v>45208</v>
      </c>
      <c r="C499" s="1" t="n">
        <v>46158</v>
      </c>
      <c r="D499" t="inlineStr">
        <is>
          <t>VÄSTERBOTTENS LÄN</t>
        </is>
      </c>
      <c r="E499" t="inlineStr">
        <is>
          <t>NORSJÖ</t>
        </is>
      </c>
      <c r="G499" t="n">
        <v>1.1</v>
      </c>
      <c r="H499" t="n">
        <v>0</v>
      </c>
      <c r="I499" t="n">
        <v>0</v>
      </c>
      <c r="J499" t="n">
        <v>0</v>
      </c>
      <c r="K499" t="n">
        <v>0</v>
      </c>
      <c r="L499" t="n">
        <v>0</v>
      </c>
      <c r="M499" t="n">
        <v>0</v>
      </c>
      <c r="N499" t="n">
        <v>0</v>
      </c>
      <c r="O499" t="n">
        <v>0</v>
      </c>
      <c r="P499" t="n">
        <v>0</v>
      </c>
      <c r="Q499" t="n">
        <v>0</v>
      </c>
      <c r="R499" s="2" t="inlineStr"/>
    </row>
    <row r="500" ht="15" customHeight="1">
      <c r="A500" t="inlineStr">
        <is>
          <t>A 44310-2023</t>
        </is>
      </c>
      <c r="B500" s="1" t="n">
        <v>45187</v>
      </c>
      <c r="C500" s="1" t="n">
        <v>46158</v>
      </c>
      <c r="D500" t="inlineStr">
        <is>
          <t>VÄSTERBOTTENS LÄN</t>
        </is>
      </c>
      <c r="E500" t="inlineStr">
        <is>
          <t>NORSJÖ</t>
        </is>
      </c>
      <c r="G500" t="n">
        <v>1.9</v>
      </c>
      <c r="H500" t="n">
        <v>0</v>
      </c>
      <c r="I500" t="n">
        <v>0</v>
      </c>
      <c r="J500" t="n">
        <v>0</v>
      </c>
      <c r="K500" t="n">
        <v>0</v>
      </c>
      <c r="L500" t="n">
        <v>0</v>
      </c>
      <c r="M500" t="n">
        <v>0</v>
      </c>
      <c r="N500" t="n">
        <v>0</v>
      </c>
      <c r="O500" t="n">
        <v>0</v>
      </c>
      <c r="P500" t="n">
        <v>0</v>
      </c>
      <c r="Q500" t="n">
        <v>0</v>
      </c>
      <c r="R500" s="2" t="inlineStr"/>
    </row>
    <row r="501" ht="15" customHeight="1">
      <c r="A501" t="inlineStr">
        <is>
          <t>A 22467-2026</t>
        </is>
      </c>
      <c r="B501" s="1" t="n">
        <v>46155.38402777778</v>
      </c>
      <c r="C501" s="1" t="n">
        <v>46158</v>
      </c>
      <c r="D501" t="inlineStr">
        <is>
          <t>VÄSTERBOTTENS LÄN</t>
        </is>
      </c>
      <c r="E501" t="inlineStr">
        <is>
          <t>NORSJÖ</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16860-2026</t>
        </is>
      </c>
      <c r="B502" s="1" t="n">
        <v>46113.57075231482</v>
      </c>
      <c r="C502" s="1" t="n">
        <v>46158</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40756-2023</t>
        </is>
      </c>
      <c r="B503" s="1" t="n">
        <v>45170</v>
      </c>
      <c r="C503" s="1" t="n">
        <v>46158</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43832-2023</t>
        </is>
      </c>
      <c r="B504" s="1" t="n">
        <v>45182</v>
      </c>
      <c r="C504" s="1" t="n">
        <v>46158</v>
      </c>
      <c r="D504" t="inlineStr">
        <is>
          <t>VÄSTERBOTTENS LÄN</t>
        </is>
      </c>
      <c r="E504" t="inlineStr">
        <is>
          <t>NORSJÖ</t>
        </is>
      </c>
      <c r="G504" t="n">
        <v>14.4</v>
      </c>
      <c r="H504" t="n">
        <v>0</v>
      </c>
      <c r="I504" t="n">
        <v>0</v>
      </c>
      <c r="J504" t="n">
        <v>0</v>
      </c>
      <c r="K504" t="n">
        <v>0</v>
      </c>
      <c r="L504" t="n">
        <v>0</v>
      </c>
      <c r="M504" t="n">
        <v>0</v>
      </c>
      <c r="N504" t="n">
        <v>0</v>
      </c>
      <c r="O504" t="n">
        <v>0</v>
      </c>
      <c r="P504" t="n">
        <v>0</v>
      </c>
      <c r="Q504" t="n">
        <v>0</v>
      </c>
      <c r="R504" s="2" t="inlineStr"/>
    </row>
    <row r="505" ht="15" customHeight="1">
      <c r="A505" t="inlineStr">
        <is>
          <t>A 41548-2023</t>
        </is>
      </c>
      <c r="B505" s="1" t="n">
        <v>45172</v>
      </c>
      <c r="C505" s="1" t="n">
        <v>46158</v>
      </c>
      <c r="D505" t="inlineStr">
        <is>
          <t>VÄSTERBOTTENS LÄN</t>
        </is>
      </c>
      <c r="E505" t="inlineStr">
        <is>
          <t>NORSJÖ</t>
        </is>
      </c>
      <c r="G505" t="n">
        <v>3.6</v>
      </c>
      <c r="H505" t="n">
        <v>0</v>
      </c>
      <c r="I505" t="n">
        <v>0</v>
      </c>
      <c r="J505" t="n">
        <v>0</v>
      </c>
      <c r="K505" t="n">
        <v>0</v>
      </c>
      <c r="L505" t="n">
        <v>0</v>
      </c>
      <c r="M505" t="n">
        <v>0</v>
      </c>
      <c r="N505" t="n">
        <v>0</v>
      </c>
      <c r="O505" t="n">
        <v>0</v>
      </c>
      <c r="P505" t="n">
        <v>0</v>
      </c>
      <c r="Q505" t="n">
        <v>0</v>
      </c>
      <c r="R505" s="2" t="inlineStr"/>
    </row>
    <row r="506" ht="15" customHeight="1">
      <c r="A506" t="inlineStr">
        <is>
          <t>A 18165-2024</t>
        </is>
      </c>
      <c r="B506" s="1" t="n">
        <v>45420.62534722222</v>
      </c>
      <c r="C506" s="1" t="n">
        <v>46158</v>
      </c>
      <c r="D506" t="inlineStr">
        <is>
          <t>VÄSTERBOTTENS LÄN</t>
        </is>
      </c>
      <c r="E506" t="inlineStr">
        <is>
          <t>NORSJÖ</t>
        </is>
      </c>
      <c r="F506" t="inlineStr">
        <is>
          <t>Holmen skog AB</t>
        </is>
      </c>
      <c r="G506" t="n">
        <v>6.3</v>
      </c>
      <c r="H506" t="n">
        <v>0</v>
      </c>
      <c r="I506" t="n">
        <v>0</v>
      </c>
      <c r="J506" t="n">
        <v>0</v>
      </c>
      <c r="K506" t="n">
        <v>0</v>
      </c>
      <c r="L506" t="n">
        <v>0</v>
      </c>
      <c r="M506" t="n">
        <v>0</v>
      </c>
      <c r="N506" t="n">
        <v>0</v>
      </c>
      <c r="O506" t="n">
        <v>0</v>
      </c>
      <c r="P506" t="n">
        <v>0</v>
      </c>
      <c r="Q506" t="n">
        <v>0</v>
      </c>
      <c r="R506" s="2" t="inlineStr"/>
    </row>
    <row r="507" ht="15" customHeight="1">
      <c r="A507" t="inlineStr">
        <is>
          <t>A 41591-2023</t>
        </is>
      </c>
      <c r="B507" s="1" t="n">
        <v>45173</v>
      </c>
      <c r="C507" s="1" t="n">
        <v>46158</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39042-2023</t>
        </is>
      </c>
      <c r="B508" s="1" t="n">
        <v>45163.92680555556</v>
      </c>
      <c r="C508" s="1" t="n">
        <v>46158</v>
      </c>
      <c r="D508" t="inlineStr">
        <is>
          <t>VÄSTERBOTTENS LÄN</t>
        </is>
      </c>
      <c r="E508" t="inlineStr">
        <is>
          <t>NORSJÖ</t>
        </is>
      </c>
      <c r="G508" t="n">
        <v>1.4</v>
      </c>
      <c r="H508" t="n">
        <v>0</v>
      </c>
      <c r="I508" t="n">
        <v>0</v>
      </c>
      <c r="J508" t="n">
        <v>0</v>
      </c>
      <c r="K508" t="n">
        <v>0</v>
      </c>
      <c r="L508" t="n">
        <v>0</v>
      </c>
      <c r="M508" t="n">
        <v>0</v>
      </c>
      <c r="N508" t="n">
        <v>0</v>
      </c>
      <c r="O508" t="n">
        <v>0</v>
      </c>
      <c r="P508" t="n">
        <v>0</v>
      </c>
      <c r="Q508" t="n">
        <v>0</v>
      </c>
      <c r="R508" s="2" t="inlineStr"/>
    </row>
    <row r="509" ht="15" customHeight="1">
      <c r="A509" t="inlineStr">
        <is>
          <t>A 6075-2024</t>
        </is>
      </c>
      <c r="B509" s="1" t="n">
        <v>45336.93761574074</v>
      </c>
      <c r="C509" s="1" t="n">
        <v>46158</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7979-2022</t>
        </is>
      </c>
      <c r="B510" s="1" t="n">
        <v>44608</v>
      </c>
      <c r="C510" s="1" t="n">
        <v>46158</v>
      </c>
      <c r="D510" t="inlineStr">
        <is>
          <t>VÄSTERBOTTENS LÄN</t>
        </is>
      </c>
      <c r="E510" t="inlineStr">
        <is>
          <t>NORSJÖ</t>
        </is>
      </c>
      <c r="G510" t="n">
        <v>3.4</v>
      </c>
      <c r="H510" t="n">
        <v>0</v>
      </c>
      <c r="I510" t="n">
        <v>0</v>
      </c>
      <c r="J510" t="n">
        <v>0</v>
      </c>
      <c r="K510" t="n">
        <v>0</v>
      </c>
      <c r="L510" t="n">
        <v>0</v>
      </c>
      <c r="M510" t="n">
        <v>0</v>
      </c>
      <c r="N510" t="n">
        <v>0</v>
      </c>
      <c r="O510" t="n">
        <v>0</v>
      </c>
      <c r="P510" t="n">
        <v>0</v>
      </c>
      <c r="Q510" t="n">
        <v>0</v>
      </c>
      <c r="R510" s="2" t="inlineStr"/>
    </row>
    <row r="511" ht="15" customHeight="1">
      <c r="A511" t="inlineStr">
        <is>
          <t>A 1565-2024</t>
        </is>
      </c>
      <c r="B511" s="1" t="n">
        <v>45306.52886574074</v>
      </c>
      <c r="C511" s="1" t="n">
        <v>46158</v>
      </c>
      <c r="D511" t="inlineStr">
        <is>
          <t>VÄSTERBOTTENS LÄN</t>
        </is>
      </c>
      <c r="E511" t="inlineStr">
        <is>
          <t>NORSJÖ</t>
        </is>
      </c>
      <c r="F511" t="inlineStr">
        <is>
          <t>Holmen skog AB</t>
        </is>
      </c>
      <c r="G511" t="n">
        <v>23.6</v>
      </c>
      <c r="H511" t="n">
        <v>0</v>
      </c>
      <c r="I511" t="n">
        <v>0</v>
      </c>
      <c r="J511" t="n">
        <v>0</v>
      </c>
      <c r="K511" t="n">
        <v>0</v>
      </c>
      <c r="L511" t="n">
        <v>0</v>
      </c>
      <c r="M511" t="n">
        <v>0</v>
      </c>
      <c r="N511" t="n">
        <v>0</v>
      </c>
      <c r="O511" t="n">
        <v>0</v>
      </c>
      <c r="P511" t="n">
        <v>0</v>
      </c>
      <c r="Q511" t="n">
        <v>0</v>
      </c>
      <c r="R511" s="2" t="inlineStr"/>
    </row>
    <row r="512" ht="15" customHeight="1">
      <c r="A512" t="inlineStr">
        <is>
          <t>A 23171-2024</t>
        </is>
      </c>
      <c r="B512" s="1" t="n">
        <v>45450</v>
      </c>
      <c r="C512" s="1" t="n">
        <v>46158</v>
      </c>
      <c r="D512" t="inlineStr">
        <is>
          <t>VÄSTERBOTTENS LÄN</t>
        </is>
      </c>
      <c r="E512" t="inlineStr">
        <is>
          <t>NORSJÖ</t>
        </is>
      </c>
      <c r="G512" t="n">
        <v>0.5</v>
      </c>
      <c r="H512" t="n">
        <v>0</v>
      </c>
      <c r="I512" t="n">
        <v>0</v>
      </c>
      <c r="J512" t="n">
        <v>0</v>
      </c>
      <c r="K512" t="n">
        <v>0</v>
      </c>
      <c r="L512" t="n">
        <v>0</v>
      </c>
      <c r="M512" t="n">
        <v>0</v>
      </c>
      <c r="N512" t="n">
        <v>0</v>
      </c>
      <c r="O512" t="n">
        <v>0</v>
      </c>
      <c r="P512" t="n">
        <v>0</v>
      </c>
      <c r="Q512" t="n">
        <v>0</v>
      </c>
      <c r="R512" s="2" t="inlineStr"/>
    </row>
    <row r="513" ht="15" customHeight="1">
      <c r="A513" t="inlineStr">
        <is>
          <t>A 2909-2023</t>
        </is>
      </c>
      <c r="B513" s="1" t="n">
        <v>44945</v>
      </c>
      <c r="C513" s="1" t="n">
        <v>46158</v>
      </c>
      <c r="D513" t="inlineStr">
        <is>
          <t>VÄSTERBOTTENS LÄN</t>
        </is>
      </c>
      <c r="E513" t="inlineStr">
        <is>
          <t>NORSJÖ</t>
        </is>
      </c>
      <c r="G513" t="n">
        <v>0.6</v>
      </c>
      <c r="H513" t="n">
        <v>0</v>
      </c>
      <c r="I513" t="n">
        <v>0</v>
      </c>
      <c r="J513" t="n">
        <v>0</v>
      </c>
      <c r="K513" t="n">
        <v>0</v>
      </c>
      <c r="L513" t="n">
        <v>0</v>
      </c>
      <c r="M513" t="n">
        <v>0</v>
      </c>
      <c r="N513" t="n">
        <v>0</v>
      </c>
      <c r="O513" t="n">
        <v>0</v>
      </c>
      <c r="P513" t="n">
        <v>0</v>
      </c>
      <c r="Q513" t="n">
        <v>0</v>
      </c>
      <c r="R513" s="2" t="inlineStr"/>
    </row>
    <row r="514" ht="15" customHeight="1">
      <c r="A514" t="inlineStr">
        <is>
          <t>A 2370-2024</t>
        </is>
      </c>
      <c r="B514" s="1" t="n">
        <v>45310</v>
      </c>
      <c r="C514" s="1" t="n">
        <v>46158</v>
      </c>
      <c r="D514" t="inlineStr">
        <is>
          <t>VÄSTERBOTTENS LÄN</t>
        </is>
      </c>
      <c r="E514" t="inlineStr">
        <is>
          <t>NORSJÖ</t>
        </is>
      </c>
      <c r="G514" t="n">
        <v>2.4</v>
      </c>
      <c r="H514" t="n">
        <v>0</v>
      </c>
      <c r="I514" t="n">
        <v>0</v>
      </c>
      <c r="J514" t="n">
        <v>0</v>
      </c>
      <c r="K514" t="n">
        <v>0</v>
      </c>
      <c r="L514" t="n">
        <v>0</v>
      </c>
      <c r="M514" t="n">
        <v>0</v>
      </c>
      <c r="N514" t="n">
        <v>0</v>
      </c>
      <c r="O514" t="n">
        <v>0</v>
      </c>
      <c r="P514" t="n">
        <v>0</v>
      </c>
      <c r="Q514" t="n">
        <v>0</v>
      </c>
      <c r="R514" s="2" t="inlineStr"/>
    </row>
    <row r="515" ht="15" customHeight="1">
      <c r="A515" t="inlineStr">
        <is>
          <t>A 50706-2022</t>
        </is>
      </c>
      <c r="B515" s="1" t="n">
        <v>44867</v>
      </c>
      <c r="C515" s="1" t="n">
        <v>46158</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46860-2022</t>
        </is>
      </c>
      <c r="B516" s="1" t="n">
        <v>44848</v>
      </c>
      <c r="C516" s="1" t="n">
        <v>46158</v>
      </c>
      <c r="D516" t="inlineStr">
        <is>
          <t>VÄSTERBOTTENS LÄN</t>
        </is>
      </c>
      <c r="E516" t="inlineStr">
        <is>
          <t>NORSJÖ</t>
        </is>
      </c>
      <c r="G516" t="n">
        <v>4</v>
      </c>
      <c r="H516" t="n">
        <v>0</v>
      </c>
      <c r="I516" t="n">
        <v>0</v>
      </c>
      <c r="J516" t="n">
        <v>0</v>
      </c>
      <c r="K516" t="n">
        <v>0</v>
      </c>
      <c r="L516" t="n">
        <v>0</v>
      </c>
      <c r="M516" t="n">
        <v>0</v>
      </c>
      <c r="N516" t="n">
        <v>0</v>
      </c>
      <c r="O516" t="n">
        <v>0</v>
      </c>
      <c r="P516" t="n">
        <v>0</v>
      </c>
      <c r="Q516" t="n">
        <v>0</v>
      </c>
      <c r="R516" s="2" t="inlineStr"/>
    </row>
    <row r="517" ht="15" customHeight="1">
      <c r="A517" t="inlineStr">
        <is>
          <t>A 41965-2024</t>
        </is>
      </c>
      <c r="B517" s="1" t="n">
        <v>45561</v>
      </c>
      <c r="C517" s="1" t="n">
        <v>46158</v>
      </c>
      <c r="D517" t="inlineStr">
        <is>
          <t>VÄSTERBOTTENS LÄN</t>
        </is>
      </c>
      <c r="E517" t="inlineStr">
        <is>
          <t>NORSJÖ</t>
        </is>
      </c>
      <c r="G517" t="n">
        <v>1.7</v>
      </c>
      <c r="H517" t="n">
        <v>0</v>
      </c>
      <c r="I517" t="n">
        <v>0</v>
      </c>
      <c r="J517" t="n">
        <v>0</v>
      </c>
      <c r="K517" t="n">
        <v>0</v>
      </c>
      <c r="L517" t="n">
        <v>0</v>
      </c>
      <c r="M517" t="n">
        <v>0</v>
      </c>
      <c r="N517" t="n">
        <v>0</v>
      </c>
      <c r="O517" t="n">
        <v>0</v>
      </c>
      <c r="P517" t="n">
        <v>0</v>
      </c>
      <c r="Q517" t="n">
        <v>0</v>
      </c>
      <c r="R517" s="2" t="inlineStr"/>
    </row>
    <row r="518" ht="15" customHeight="1">
      <c r="A518" t="inlineStr">
        <is>
          <t>A 51926-2022</t>
        </is>
      </c>
      <c r="B518" s="1" t="n">
        <v>44872</v>
      </c>
      <c r="C518" s="1" t="n">
        <v>46158</v>
      </c>
      <c r="D518" t="inlineStr">
        <is>
          <t>VÄSTERBOTTENS LÄN</t>
        </is>
      </c>
      <c r="E518" t="inlineStr">
        <is>
          <t>NORSJÖ</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39804-2023</t>
        </is>
      </c>
      <c r="B519" s="1" t="n">
        <v>45167</v>
      </c>
      <c r="C519" s="1" t="n">
        <v>46158</v>
      </c>
      <c r="D519" t="inlineStr">
        <is>
          <t>VÄSTERBOTTENS LÄN</t>
        </is>
      </c>
      <c r="E519" t="inlineStr">
        <is>
          <t>NORSJÖ</t>
        </is>
      </c>
      <c r="F519" t="inlineStr">
        <is>
          <t>Övriga Aktiebolag</t>
        </is>
      </c>
      <c r="G519" t="n">
        <v>4</v>
      </c>
      <c r="H519" t="n">
        <v>0</v>
      </c>
      <c r="I519" t="n">
        <v>0</v>
      </c>
      <c r="J519" t="n">
        <v>0</v>
      </c>
      <c r="K519" t="n">
        <v>0</v>
      </c>
      <c r="L519" t="n">
        <v>0</v>
      </c>
      <c r="M519" t="n">
        <v>0</v>
      </c>
      <c r="N519" t="n">
        <v>0</v>
      </c>
      <c r="O519" t="n">
        <v>0</v>
      </c>
      <c r="P519" t="n">
        <v>0</v>
      </c>
      <c r="Q519" t="n">
        <v>0</v>
      </c>
      <c r="R519" s="2" t="inlineStr"/>
    </row>
    <row r="520" ht="15" customHeight="1">
      <c r="A520" t="inlineStr">
        <is>
          <t>A 29733-2024</t>
        </is>
      </c>
      <c r="B520" s="1" t="n">
        <v>45485.37736111111</v>
      </c>
      <c r="C520" s="1" t="n">
        <v>46158</v>
      </c>
      <c r="D520" t="inlineStr">
        <is>
          <t>VÄSTERBOTTENS LÄN</t>
        </is>
      </c>
      <c r="E520" t="inlineStr">
        <is>
          <t>NORSJÖ</t>
        </is>
      </c>
      <c r="G520" t="n">
        <v>2.1</v>
      </c>
      <c r="H520" t="n">
        <v>0</v>
      </c>
      <c r="I520" t="n">
        <v>0</v>
      </c>
      <c r="J520" t="n">
        <v>0</v>
      </c>
      <c r="K520" t="n">
        <v>0</v>
      </c>
      <c r="L520" t="n">
        <v>0</v>
      </c>
      <c r="M520" t="n">
        <v>0</v>
      </c>
      <c r="N520" t="n">
        <v>0</v>
      </c>
      <c r="O520" t="n">
        <v>0</v>
      </c>
      <c r="P520" t="n">
        <v>0</v>
      </c>
      <c r="Q520" t="n">
        <v>0</v>
      </c>
      <c r="R520" s="2" t="inlineStr"/>
    </row>
    <row r="521" ht="15" customHeight="1">
      <c r="A521" t="inlineStr">
        <is>
          <t>A 28808-2024</t>
        </is>
      </c>
      <c r="B521" s="1" t="n">
        <v>45478</v>
      </c>
      <c r="C521" s="1" t="n">
        <v>46158</v>
      </c>
      <c r="D521" t="inlineStr">
        <is>
          <t>VÄSTERBOTTENS LÄN</t>
        </is>
      </c>
      <c r="E521" t="inlineStr">
        <is>
          <t>NORSJÖ</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56716-2022</t>
        </is>
      </c>
      <c r="B522" s="1" t="n">
        <v>44893.92828703704</v>
      </c>
      <c r="C522" s="1" t="n">
        <v>46158</v>
      </c>
      <c r="D522" t="inlineStr">
        <is>
          <t>VÄSTERBOTTENS LÄN</t>
        </is>
      </c>
      <c r="E522" t="inlineStr">
        <is>
          <t>NORSJÖ</t>
        </is>
      </c>
      <c r="G522" t="n">
        <v>1.2</v>
      </c>
      <c r="H522" t="n">
        <v>0</v>
      </c>
      <c r="I522" t="n">
        <v>0</v>
      </c>
      <c r="J522" t="n">
        <v>0</v>
      </c>
      <c r="K522" t="n">
        <v>0</v>
      </c>
      <c r="L522" t="n">
        <v>0</v>
      </c>
      <c r="M522" t="n">
        <v>0</v>
      </c>
      <c r="N522" t="n">
        <v>0</v>
      </c>
      <c r="O522" t="n">
        <v>0</v>
      </c>
      <c r="P522" t="n">
        <v>0</v>
      </c>
      <c r="Q522" t="n">
        <v>0</v>
      </c>
      <c r="R522" s="2" t="inlineStr"/>
    </row>
    <row r="523" ht="15" customHeight="1">
      <c r="A523" t="inlineStr">
        <is>
          <t>A 39400-2024</t>
        </is>
      </c>
      <c r="B523" s="1" t="n">
        <v>45551.55501157408</v>
      </c>
      <c r="C523" s="1" t="n">
        <v>46158</v>
      </c>
      <c r="D523" t="inlineStr">
        <is>
          <t>VÄSTERBOTTENS LÄN</t>
        </is>
      </c>
      <c r="E523" t="inlineStr">
        <is>
          <t>NORSJÖ</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37395-2024</t>
        </is>
      </c>
      <c r="B524" s="1" t="n">
        <v>45540.59734953703</v>
      </c>
      <c r="C524" s="1" t="n">
        <v>46158</v>
      </c>
      <c r="D524" t="inlineStr">
        <is>
          <t>VÄSTERBOTTENS LÄN</t>
        </is>
      </c>
      <c r="E524" t="inlineStr">
        <is>
          <t>NORSJÖ</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46018-2021</t>
        </is>
      </c>
      <c r="B525" s="1" t="n">
        <v>44441</v>
      </c>
      <c r="C525" s="1" t="n">
        <v>46158</v>
      </c>
      <c r="D525" t="inlineStr">
        <is>
          <t>VÄSTERBOTTENS LÄN</t>
        </is>
      </c>
      <c r="E525" t="inlineStr">
        <is>
          <t>NORSJÖ</t>
        </is>
      </c>
      <c r="G525" t="n">
        <v>0.9</v>
      </c>
      <c r="H525" t="n">
        <v>0</v>
      </c>
      <c r="I525" t="n">
        <v>0</v>
      </c>
      <c r="J525" t="n">
        <v>0</v>
      </c>
      <c r="K525" t="n">
        <v>0</v>
      </c>
      <c r="L525" t="n">
        <v>0</v>
      </c>
      <c r="M525" t="n">
        <v>0</v>
      </c>
      <c r="N525" t="n">
        <v>0</v>
      </c>
      <c r="O525" t="n">
        <v>0</v>
      </c>
      <c r="P525" t="n">
        <v>0</v>
      </c>
      <c r="Q525" t="n">
        <v>0</v>
      </c>
      <c r="R525" s="2" t="inlineStr"/>
    </row>
    <row r="526" ht="15" customHeight="1">
      <c r="A526" t="inlineStr">
        <is>
          <t>A 25122-2024</t>
        </is>
      </c>
      <c r="B526" s="1" t="n">
        <v>45462.45252314815</v>
      </c>
      <c r="C526" s="1" t="n">
        <v>46158</v>
      </c>
      <c r="D526" t="inlineStr">
        <is>
          <t>VÄSTERBOTTENS LÄN</t>
        </is>
      </c>
      <c r="E526" t="inlineStr">
        <is>
          <t>NORSJÖ</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25142-2024</t>
        </is>
      </c>
      <c r="B527" s="1" t="n">
        <v>45462</v>
      </c>
      <c r="C527" s="1" t="n">
        <v>46158</v>
      </c>
      <c r="D527" t="inlineStr">
        <is>
          <t>VÄSTERBOTTENS LÄN</t>
        </is>
      </c>
      <c r="E527" t="inlineStr">
        <is>
          <t>NORSJÖ</t>
        </is>
      </c>
      <c r="F527" t="inlineStr">
        <is>
          <t>Sveaskog</t>
        </is>
      </c>
      <c r="G527" t="n">
        <v>7.7</v>
      </c>
      <c r="H527" t="n">
        <v>0</v>
      </c>
      <c r="I527" t="n">
        <v>0</v>
      </c>
      <c r="J527" t="n">
        <v>0</v>
      </c>
      <c r="K527" t="n">
        <v>0</v>
      </c>
      <c r="L527" t="n">
        <v>0</v>
      </c>
      <c r="M527" t="n">
        <v>0</v>
      </c>
      <c r="N527" t="n">
        <v>0</v>
      </c>
      <c r="O527" t="n">
        <v>0</v>
      </c>
      <c r="P527" t="n">
        <v>0</v>
      </c>
      <c r="Q527" t="n">
        <v>0</v>
      </c>
      <c r="R527" s="2" t="inlineStr"/>
    </row>
    <row r="528" ht="15" customHeight="1">
      <c r="A528" t="inlineStr">
        <is>
          <t>A 51407-2024</t>
        </is>
      </c>
      <c r="B528" s="1" t="n">
        <v>45604.42872685185</v>
      </c>
      <c r="C528" s="1" t="n">
        <v>46158</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12657-2023</t>
        </is>
      </c>
      <c r="B529" s="1" t="n">
        <v>44999</v>
      </c>
      <c r="C529" s="1" t="n">
        <v>46158</v>
      </c>
      <c r="D529" t="inlineStr">
        <is>
          <t>VÄSTERBOTTENS LÄN</t>
        </is>
      </c>
      <c r="E529" t="inlineStr">
        <is>
          <t>NORSJÖ</t>
        </is>
      </c>
      <c r="G529" t="n">
        <v>0.6</v>
      </c>
      <c r="H529" t="n">
        <v>0</v>
      </c>
      <c r="I529" t="n">
        <v>0</v>
      </c>
      <c r="J529" t="n">
        <v>0</v>
      </c>
      <c r="K529" t="n">
        <v>0</v>
      </c>
      <c r="L529" t="n">
        <v>0</v>
      </c>
      <c r="M529" t="n">
        <v>0</v>
      </c>
      <c r="N529" t="n">
        <v>0</v>
      </c>
      <c r="O529" t="n">
        <v>0</v>
      </c>
      <c r="P529" t="n">
        <v>0</v>
      </c>
      <c r="Q529" t="n">
        <v>0</v>
      </c>
      <c r="R529" s="2" t="inlineStr"/>
    </row>
    <row r="530" ht="15" customHeight="1">
      <c r="A530" t="inlineStr">
        <is>
          <t>A 29275-2022</t>
        </is>
      </c>
      <c r="B530" s="1" t="n">
        <v>44750.674375</v>
      </c>
      <c r="C530" s="1" t="n">
        <v>46158</v>
      </c>
      <c r="D530" t="inlineStr">
        <is>
          <t>VÄSTERBOTTENS LÄN</t>
        </is>
      </c>
      <c r="E530" t="inlineStr">
        <is>
          <t>NORSJÖ</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6076-2024</t>
        </is>
      </c>
      <c r="B531" s="1" t="n">
        <v>45336.93773148148</v>
      </c>
      <c r="C531" s="1" t="n">
        <v>46158</v>
      </c>
      <c r="D531" t="inlineStr">
        <is>
          <t>VÄSTERBOTTENS LÄN</t>
        </is>
      </c>
      <c r="E531" t="inlineStr">
        <is>
          <t>NORSJÖ</t>
        </is>
      </c>
      <c r="G531" t="n">
        <v>3.1</v>
      </c>
      <c r="H531" t="n">
        <v>0</v>
      </c>
      <c r="I531" t="n">
        <v>0</v>
      </c>
      <c r="J531" t="n">
        <v>0</v>
      </c>
      <c r="K531" t="n">
        <v>0</v>
      </c>
      <c r="L531" t="n">
        <v>0</v>
      </c>
      <c r="M531" t="n">
        <v>0</v>
      </c>
      <c r="N531" t="n">
        <v>0</v>
      </c>
      <c r="O531" t="n">
        <v>0</v>
      </c>
      <c r="P531" t="n">
        <v>0</v>
      </c>
      <c r="Q531" t="n">
        <v>0</v>
      </c>
      <c r="R531" s="2" t="inlineStr"/>
    </row>
    <row r="532" ht="15" customHeight="1">
      <c r="A532" t="inlineStr">
        <is>
          <t>A 6079-2024</t>
        </is>
      </c>
      <c r="B532" s="1" t="n">
        <v>45336.93798611111</v>
      </c>
      <c r="C532" s="1" t="n">
        <v>46158</v>
      </c>
      <c r="D532" t="inlineStr">
        <is>
          <t>VÄSTERBOTTENS LÄN</t>
        </is>
      </c>
      <c r="E532" t="inlineStr">
        <is>
          <t>NORSJÖ</t>
        </is>
      </c>
      <c r="G532" t="n">
        <v>5.6</v>
      </c>
      <c r="H532" t="n">
        <v>0</v>
      </c>
      <c r="I532" t="n">
        <v>0</v>
      </c>
      <c r="J532" t="n">
        <v>0</v>
      </c>
      <c r="K532" t="n">
        <v>0</v>
      </c>
      <c r="L532" t="n">
        <v>0</v>
      </c>
      <c r="M532" t="n">
        <v>0</v>
      </c>
      <c r="N532" t="n">
        <v>0</v>
      </c>
      <c r="O532" t="n">
        <v>0</v>
      </c>
      <c r="P532" t="n">
        <v>0</v>
      </c>
      <c r="Q532" t="n">
        <v>0</v>
      </c>
      <c r="R532" s="2" t="inlineStr"/>
    </row>
    <row r="533" ht="15" customHeight="1">
      <c r="A533" t="inlineStr">
        <is>
          <t>A 37428-2024</t>
        </is>
      </c>
      <c r="B533" s="1" t="n">
        <v>45540.64853009259</v>
      </c>
      <c r="C533" s="1" t="n">
        <v>46158</v>
      </c>
      <c r="D533" t="inlineStr">
        <is>
          <t>VÄSTERBOTTENS LÄN</t>
        </is>
      </c>
      <c r="E533" t="inlineStr">
        <is>
          <t>NORSJÖ</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59131-2022</t>
        </is>
      </c>
      <c r="B534" s="1" t="n">
        <v>44904.44261574074</v>
      </c>
      <c r="C534" s="1" t="n">
        <v>46158</v>
      </c>
      <c r="D534" t="inlineStr">
        <is>
          <t>VÄSTERBOTTENS LÄN</t>
        </is>
      </c>
      <c r="E534" t="inlineStr">
        <is>
          <t>NORSJÖ</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44584-2021</t>
        </is>
      </c>
      <c r="B535" s="1" t="n">
        <v>44435</v>
      </c>
      <c r="C535" s="1" t="n">
        <v>46158</v>
      </c>
      <c r="D535" t="inlineStr">
        <is>
          <t>VÄSTERBOTTENS LÄN</t>
        </is>
      </c>
      <c r="E535" t="inlineStr">
        <is>
          <t>NORSJÖ</t>
        </is>
      </c>
      <c r="G535" t="n">
        <v>3.1</v>
      </c>
      <c r="H535" t="n">
        <v>0</v>
      </c>
      <c r="I535" t="n">
        <v>0</v>
      </c>
      <c r="J535" t="n">
        <v>0</v>
      </c>
      <c r="K535" t="n">
        <v>0</v>
      </c>
      <c r="L535" t="n">
        <v>0</v>
      </c>
      <c r="M535" t="n">
        <v>0</v>
      </c>
      <c r="N535" t="n">
        <v>0</v>
      </c>
      <c r="O535" t="n">
        <v>0</v>
      </c>
      <c r="P535" t="n">
        <v>0</v>
      </c>
      <c r="Q535" t="n">
        <v>0</v>
      </c>
      <c r="R535" s="2" t="inlineStr"/>
    </row>
    <row r="536" ht="15" customHeight="1">
      <c r="A536" t="inlineStr">
        <is>
          <t>A 8917-2022</t>
        </is>
      </c>
      <c r="B536" s="1" t="n">
        <v>44615</v>
      </c>
      <c r="C536" s="1" t="n">
        <v>46158</v>
      </c>
      <c r="D536" t="inlineStr">
        <is>
          <t>VÄSTERBOTTENS LÄN</t>
        </is>
      </c>
      <c r="E536" t="inlineStr">
        <is>
          <t>NORSJÖ</t>
        </is>
      </c>
      <c r="G536" t="n">
        <v>1.1</v>
      </c>
      <c r="H536" t="n">
        <v>0</v>
      </c>
      <c r="I536" t="n">
        <v>0</v>
      </c>
      <c r="J536" t="n">
        <v>0</v>
      </c>
      <c r="K536" t="n">
        <v>0</v>
      </c>
      <c r="L536" t="n">
        <v>0</v>
      </c>
      <c r="M536" t="n">
        <v>0</v>
      </c>
      <c r="N536" t="n">
        <v>0</v>
      </c>
      <c r="O536" t="n">
        <v>0</v>
      </c>
      <c r="P536" t="n">
        <v>0</v>
      </c>
      <c r="Q536" t="n">
        <v>0</v>
      </c>
      <c r="R536" s="2" t="inlineStr"/>
    </row>
    <row r="537" ht="15" customHeight="1">
      <c r="A537" t="inlineStr">
        <is>
          <t>A 2331-2025</t>
        </is>
      </c>
      <c r="B537" s="1" t="n">
        <v>45673.64859953704</v>
      </c>
      <c r="C537" s="1" t="n">
        <v>46158</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44976-2023</t>
        </is>
      </c>
      <c r="B538" s="1" t="n">
        <v>45190</v>
      </c>
      <c r="C538" s="1" t="n">
        <v>46158</v>
      </c>
      <c r="D538" t="inlineStr">
        <is>
          <t>VÄSTERBOTTENS LÄN</t>
        </is>
      </c>
      <c r="E538" t="inlineStr">
        <is>
          <t>NORSJÖ</t>
        </is>
      </c>
      <c r="G538" t="n">
        <v>2.1</v>
      </c>
      <c r="H538" t="n">
        <v>0</v>
      </c>
      <c r="I538" t="n">
        <v>0</v>
      </c>
      <c r="J538" t="n">
        <v>0</v>
      </c>
      <c r="K538" t="n">
        <v>0</v>
      </c>
      <c r="L538" t="n">
        <v>0</v>
      </c>
      <c r="M538" t="n">
        <v>0</v>
      </c>
      <c r="N538" t="n">
        <v>0</v>
      </c>
      <c r="O538" t="n">
        <v>0</v>
      </c>
      <c r="P538" t="n">
        <v>0</v>
      </c>
      <c r="Q538" t="n">
        <v>0</v>
      </c>
      <c r="R538" s="2" t="inlineStr"/>
    </row>
    <row r="539" ht="15" customHeight="1">
      <c r="A539" t="inlineStr">
        <is>
          <t>A 28949-2023</t>
        </is>
      </c>
      <c r="B539" s="1" t="n">
        <v>45104</v>
      </c>
      <c r="C539" s="1" t="n">
        <v>46158</v>
      </c>
      <c r="D539" t="inlineStr">
        <is>
          <t>VÄSTERBOTTENS LÄN</t>
        </is>
      </c>
      <c r="E539" t="inlineStr">
        <is>
          <t>NORSJÖ</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34546-2024</t>
        </is>
      </c>
      <c r="B540" s="1" t="n">
        <v>45525.78375</v>
      </c>
      <c r="C540" s="1" t="n">
        <v>46158</v>
      </c>
      <c r="D540" t="inlineStr">
        <is>
          <t>VÄSTERBOTTENS LÄN</t>
        </is>
      </c>
      <c r="E540" t="inlineStr">
        <is>
          <t>NORSJÖ</t>
        </is>
      </c>
      <c r="F540" t="inlineStr">
        <is>
          <t>Holmen skog AB</t>
        </is>
      </c>
      <c r="G540" t="n">
        <v>4</v>
      </c>
      <c r="H540" t="n">
        <v>0</v>
      </c>
      <c r="I540" t="n">
        <v>0</v>
      </c>
      <c r="J540" t="n">
        <v>0</v>
      </c>
      <c r="K540" t="n">
        <v>0</v>
      </c>
      <c r="L540" t="n">
        <v>0</v>
      </c>
      <c r="M540" t="n">
        <v>0</v>
      </c>
      <c r="N540" t="n">
        <v>0</v>
      </c>
      <c r="O540" t="n">
        <v>0</v>
      </c>
      <c r="P540" t="n">
        <v>0</v>
      </c>
      <c r="Q540" t="n">
        <v>0</v>
      </c>
      <c r="R540" s="2" t="inlineStr"/>
    </row>
    <row r="541" ht="15" customHeight="1">
      <c r="A541" t="inlineStr">
        <is>
          <t>A 2705-2023</t>
        </is>
      </c>
      <c r="B541" s="1" t="n">
        <v>44944.52116898148</v>
      </c>
      <c r="C541" s="1" t="n">
        <v>46158</v>
      </c>
      <c r="D541" t="inlineStr">
        <is>
          <t>VÄSTERBOTTENS LÄN</t>
        </is>
      </c>
      <c r="E541" t="inlineStr">
        <is>
          <t>NORSJÖ</t>
        </is>
      </c>
      <c r="G541" t="n">
        <v>0.9</v>
      </c>
      <c r="H541" t="n">
        <v>0</v>
      </c>
      <c r="I541" t="n">
        <v>0</v>
      </c>
      <c r="J541" t="n">
        <v>0</v>
      </c>
      <c r="K541" t="n">
        <v>0</v>
      </c>
      <c r="L541" t="n">
        <v>0</v>
      </c>
      <c r="M541" t="n">
        <v>0</v>
      </c>
      <c r="N541" t="n">
        <v>0</v>
      </c>
      <c r="O541" t="n">
        <v>0</v>
      </c>
      <c r="P541" t="n">
        <v>0</v>
      </c>
      <c r="Q541" t="n">
        <v>0</v>
      </c>
      <c r="R541" s="2" t="inlineStr"/>
    </row>
    <row r="542" ht="15" customHeight="1">
      <c r="A542" t="inlineStr">
        <is>
          <t>A 26541-2024</t>
        </is>
      </c>
      <c r="B542" s="1" t="n">
        <v>45469.61785879629</v>
      </c>
      <c r="C542" s="1" t="n">
        <v>46158</v>
      </c>
      <c r="D542" t="inlineStr">
        <is>
          <t>VÄSTERBOTTENS LÄN</t>
        </is>
      </c>
      <c r="E542" t="inlineStr">
        <is>
          <t>NORSJÖ</t>
        </is>
      </c>
      <c r="F542" t="inlineStr">
        <is>
          <t>Holmen skog AB</t>
        </is>
      </c>
      <c r="G542" t="n">
        <v>3.9</v>
      </c>
      <c r="H542" t="n">
        <v>0</v>
      </c>
      <c r="I542" t="n">
        <v>0</v>
      </c>
      <c r="J542" t="n">
        <v>0</v>
      </c>
      <c r="K542" t="n">
        <v>0</v>
      </c>
      <c r="L542" t="n">
        <v>0</v>
      </c>
      <c r="M542" t="n">
        <v>0</v>
      </c>
      <c r="N542" t="n">
        <v>0</v>
      </c>
      <c r="O542" t="n">
        <v>0</v>
      </c>
      <c r="P542" t="n">
        <v>0</v>
      </c>
      <c r="Q542" t="n">
        <v>0</v>
      </c>
      <c r="R542" s="2" t="inlineStr"/>
    </row>
    <row r="543" ht="15" customHeight="1">
      <c r="A543" t="inlineStr">
        <is>
          <t>A 35181-2024</t>
        </is>
      </c>
      <c r="B543" s="1" t="n">
        <v>45530.44527777778</v>
      </c>
      <c r="C543" s="1" t="n">
        <v>46158</v>
      </c>
      <c r="D543" t="inlineStr">
        <is>
          <t>VÄSTERBOTTENS LÄN</t>
        </is>
      </c>
      <c r="E543" t="inlineStr">
        <is>
          <t>NORSJÖ</t>
        </is>
      </c>
      <c r="G543" t="n">
        <v>0.6</v>
      </c>
      <c r="H543" t="n">
        <v>0</v>
      </c>
      <c r="I543" t="n">
        <v>0</v>
      </c>
      <c r="J543" t="n">
        <v>0</v>
      </c>
      <c r="K543" t="n">
        <v>0</v>
      </c>
      <c r="L543" t="n">
        <v>0</v>
      </c>
      <c r="M543" t="n">
        <v>0</v>
      </c>
      <c r="N543" t="n">
        <v>0</v>
      </c>
      <c r="O543" t="n">
        <v>0</v>
      </c>
      <c r="P543" t="n">
        <v>0</v>
      </c>
      <c r="Q543" t="n">
        <v>0</v>
      </c>
      <c r="R543" s="2" t="inlineStr"/>
    </row>
    <row r="544" ht="15" customHeight="1">
      <c r="A544" t="inlineStr">
        <is>
          <t>A 61033-2022</t>
        </is>
      </c>
      <c r="B544" s="1" t="n">
        <v>44914</v>
      </c>
      <c r="C544" s="1" t="n">
        <v>46158</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59135-2022</t>
        </is>
      </c>
      <c r="B545" s="1" t="n">
        <v>44904.44421296296</v>
      </c>
      <c r="C545" s="1" t="n">
        <v>46158</v>
      </c>
      <c r="D545" t="inlineStr">
        <is>
          <t>VÄSTERBOTTENS LÄN</t>
        </is>
      </c>
      <c r="E545" t="inlineStr">
        <is>
          <t>NORSJÖ</t>
        </is>
      </c>
      <c r="F545" t="inlineStr">
        <is>
          <t>Sveaskog</t>
        </is>
      </c>
      <c r="G545" t="n">
        <v>10.7</v>
      </c>
      <c r="H545" t="n">
        <v>0</v>
      </c>
      <c r="I545" t="n">
        <v>0</v>
      </c>
      <c r="J545" t="n">
        <v>0</v>
      </c>
      <c r="K545" t="n">
        <v>0</v>
      </c>
      <c r="L545" t="n">
        <v>0</v>
      </c>
      <c r="M545" t="n">
        <v>0</v>
      </c>
      <c r="N545" t="n">
        <v>0</v>
      </c>
      <c r="O545" t="n">
        <v>0</v>
      </c>
      <c r="P545" t="n">
        <v>0</v>
      </c>
      <c r="Q545" t="n">
        <v>0</v>
      </c>
      <c r="R545" s="2" t="inlineStr"/>
    </row>
    <row r="546" ht="15" customHeight="1">
      <c r="A546" t="inlineStr">
        <is>
          <t>A 32227-2024</t>
        </is>
      </c>
      <c r="B546" s="1" t="n">
        <v>45511.92836805555</v>
      </c>
      <c r="C546" s="1" t="n">
        <v>46158</v>
      </c>
      <c r="D546" t="inlineStr">
        <is>
          <t>VÄSTERBOTTENS LÄN</t>
        </is>
      </c>
      <c r="E546" t="inlineStr">
        <is>
          <t>NORSJÖ</t>
        </is>
      </c>
      <c r="G546" t="n">
        <v>1.6</v>
      </c>
      <c r="H546" t="n">
        <v>0</v>
      </c>
      <c r="I546" t="n">
        <v>0</v>
      </c>
      <c r="J546" t="n">
        <v>0</v>
      </c>
      <c r="K546" t="n">
        <v>0</v>
      </c>
      <c r="L546" t="n">
        <v>0</v>
      </c>
      <c r="M546" t="n">
        <v>0</v>
      </c>
      <c r="N546" t="n">
        <v>0</v>
      </c>
      <c r="O546" t="n">
        <v>0</v>
      </c>
      <c r="P546" t="n">
        <v>0</v>
      </c>
      <c r="Q546" t="n">
        <v>0</v>
      </c>
      <c r="R546" s="2" t="inlineStr"/>
    </row>
    <row r="547" ht="15" customHeight="1">
      <c r="A547" t="inlineStr">
        <is>
          <t>A 32229-2024</t>
        </is>
      </c>
      <c r="B547" s="1" t="n">
        <v>45511.9284837963</v>
      </c>
      <c r="C547" s="1" t="n">
        <v>46158</v>
      </c>
      <c r="D547" t="inlineStr">
        <is>
          <t>VÄSTERBOTTENS LÄN</t>
        </is>
      </c>
      <c r="E547" t="inlineStr">
        <is>
          <t>NORSJÖ</t>
        </is>
      </c>
      <c r="G547" t="n">
        <v>1.4</v>
      </c>
      <c r="H547" t="n">
        <v>0</v>
      </c>
      <c r="I547" t="n">
        <v>0</v>
      </c>
      <c r="J547" t="n">
        <v>0</v>
      </c>
      <c r="K547" t="n">
        <v>0</v>
      </c>
      <c r="L547" t="n">
        <v>0</v>
      </c>
      <c r="M547" t="n">
        <v>0</v>
      </c>
      <c r="N547" t="n">
        <v>0</v>
      </c>
      <c r="O547" t="n">
        <v>0</v>
      </c>
      <c r="P547" t="n">
        <v>0</v>
      </c>
      <c r="Q547" t="n">
        <v>0</v>
      </c>
      <c r="R547" s="2" t="inlineStr"/>
    </row>
    <row r="548" ht="15" customHeight="1">
      <c r="A548" t="inlineStr">
        <is>
          <t>A 32231-2024</t>
        </is>
      </c>
      <c r="B548" s="1" t="n">
        <v>45511.92864583333</v>
      </c>
      <c r="C548" s="1" t="n">
        <v>46158</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51724-2024</t>
        </is>
      </c>
      <c r="B549" s="1" t="n">
        <v>45607.38243055555</v>
      </c>
      <c r="C549" s="1" t="n">
        <v>46158</v>
      </c>
      <c r="D549" t="inlineStr">
        <is>
          <t>VÄSTERBOTTENS LÄN</t>
        </is>
      </c>
      <c r="E549" t="inlineStr">
        <is>
          <t>NORSJÖ</t>
        </is>
      </c>
      <c r="F549" t="inlineStr">
        <is>
          <t>Holmen skog AB</t>
        </is>
      </c>
      <c r="G549" t="n">
        <v>5.7</v>
      </c>
      <c r="H549" t="n">
        <v>0</v>
      </c>
      <c r="I549" t="n">
        <v>0</v>
      </c>
      <c r="J549" t="n">
        <v>0</v>
      </c>
      <c r="K549" t="n">
        <v>0</v>
      </c>
      <c r="L549" t="n">
        <v>0</v>
      </c>
      <c r="M549" t="n">
        <v>0</v>
      </c>
      <c r="N549" t="n">
        <v>0</v>
      </c>
      <c r="O549" t="n">
        <v>0</v>
      </c>
      <c r="P549" t="n">
        <v>0</v>
      </c>
      <c r="Q549" t="n">
        <v>0</v>
      </c>
      <c r="R549" s="2" t="inlineStr"/>
    </row>
    <row r="550" ht="15" customHeight="1">
      <c r="A550" t="inlineStr">
        <is>
          <t>A 40087-2023</t>
        </is>
      </c>
      <c r="B550" s="1" t="n">
        <v>45168</v>
      </c>
      <c r="C550" s="1" t="n">
        <v>46158</v>
      </c>
      <c r="D550" t="inlineStr">
        <is>
          <t>VÄSTERBOTTENS LÄN</t>
        </is>
      </c>
      <c r="E550" t="inlineStr">
        <is>
          <t>NORSJÖ</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41003-2023</t>
        </is>
      </c>
      <c r="B551" s="1" t="n">
        <v>45161</v>
      </c>
      <c r="C551" s="1" t="n">
        <v>46158</v>
      </c>
      <c r="D551" t="inlineStr">
        <is>
          <t>VÄSTERBOTTENS LÄN</t>
        </is>
      </c>
      <c r="E551" t="inlineStr">
        <is>
          <t>NORSJÖ</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34317-2024</t>
        </is>
      </c>
      <c r="B552" s="1" t="n">
        <v>45524.70659722222</v>
      </c>
      <c r="C552" s="1" t="n">
        <v>46158</v>
      </c>
      <c r="D552" t="inlineStr">
        <is>
          <t>VÄSTERBOTTENS LÄN</t>
        </is>
      </c>
      <c r="E552" t="inlineStr">
        <is>
          <t>NORSJÖ</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37841-2023</t>
        </is>
      </c>
      <c r="B553" s="1" t="n">
        <v>45156</v>
      </c>
      <c r="C553" s="1" t="n">
        <v>46158</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67677-2021</t>
        </is>
      </c>
      <c r="B554" s="1" t="n">
        <v>44524.9221412037</v>
      </c>
      <c r="C554" s="1" t="n">
        <v>46158</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35179-2024</t>
        </is>
      </c>
      <c r="B555" s="1" t="n">
        <v>45530.44016203703</v>
      </c>
      <c r="C555" s="1" t="n">
        <v>46158</v>
      </c>
      <c r="D555" t="inlineStr">
        <is>
          <t>VÄSTERBOTTENS LÄN</t>
        </is>
      </c>
      <c r="E555" t="inlineStr">
        <is>
          <t>NORSJÖ</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32891-2024</t>
        </is>
      </c>
      <c r="B556" s="1" t="n">
        <v>45516.83846064815</v>
      </c>
      <c r="C556" s="1" t="n">
        <v>46158</v>
      </c>
      <c r="D556" t="inlineStr">
        <is>
          <t>VÄSTERBOTTENS LÄN</t>
        </is>
      </c>
      <c r="E556" t="inlineStr">
        <is>
          <t>NORSJÖ</t>
        </is>
      </c>
      <c r="F556" t="inlineStr">
        <is>
          <t>Holmen skog AB</t>
        </is>
      </c>
      <c r="G556" t="n">
        <v>13.9</v>
      </c>
      <c r="H556" t="n">
        <v>0</v>
      </c>
      <c r="I556" t="n">
        <v>0</v>
      </c>
      <c r="J556" t="n">
        <v>0</v>
      </c>
      <c r="K556" t="n">
        <v>0</v>
      </c>
      <c r="L556" t="n">
        <v>0</v>
      </c>
      <c r="M556" t="n">
        <v>0</v>
      </c>
      <c r="N556" t="n">
        <v>0</v>
      </c>
      <c r="O556" t="n">
        <v>0</v>
      </c>
      <c r="P556" t="n">
        <v>0</v>
      </c>
      <c r="Q556" t="n">
        <v>0</v>
      </c>
      <c r="R556" s="2" t="inlineStr"/>
    </row>
    <row r="557" ht="15" customHeight="1">
      <c r="A557" t="inlineStr">
        <is>
          <t>A 5790-2023</t>
        </is>
      </c>
      <c r="B557" s="1" t="n">
        <v>44963.44527777778</v>
      </c>
      <c r="C557" s="1" t="n">
        <v>46158</v>
      </c>
      <c r="D557" t="inlineStr">
        <is>
          <t>VÄSTERBOTTENS LÄN</t>
        </is>
      </c>
      <c r="E557" t="inlineStr">
        <is>
          <t>NORSJÖ</t>
        </is>
      </c>
      <c r="G557" t="n">
        <v>12.1</v>
      </c>
      <c r="H557" t="n">
        <v>0</v>
      </c>
      <c r="I557" t="n">
        <v>0</v>
      </c>
      <c r="J557" t="n">
        <v>0</v>
      </c>
      <c r="K557" t="n">
        <v>0</v>
      </c>
      <c r="L557" t="n">
        <v>0</v>
      </c>
      <c r="M557" t="n">
        <v>0</v>
      </c>
      <c r="N557" t="n">
        <v>0</v>
      </c>
      <c r="O557" t="n">
        <v>0</v>
      </c>
      <c r="P557" t="n">
        <v>0</v>
      </c>
      <c r="Q557" t="n">
        <v>0</v>
      </c>
      <c r="R557" s="2" t="inlineStr"/>
    </row>
    <row r="558" ht="15" customHeight="1">
      <c r="A558" t="inlineStr">
        <is>
          <t>A 1557-2025</t>
        </is>
      </c>
      <c r="B558" s="1" t="n">
        <v>45670</v>
      </c>
      <c r="C558" s="1" t="n">
        <v>46158</v>
      </c>
      <c r="D558" t="inlineStr">
        <is>
          <t>VÄSTERBOTTENS LÄN</t>
        </is>
      </c>
      <c r="E558" t="inlineStr">
        <is>
          <t>NORSJÖ</t>
        </is>
      </c>
      <c r="G558" t="n">
        <v>8.9</v>
      </c>
      <c r="H558" t="n">
        <v>0</v>
      </c>
      <c r="I558" t="n">
        <v>0</v>
      </c>
      <c r="J558" t="n">
        <v>0</v>
      </c>
      <c r="K558" t="n">
        <v>0</v>
      </c>
      <c r="L558" t="n">
        <v>0</v>
      </c>
      <c r="M558" t="n">
        <v>0</v>
      </c>
      <c r="N558" t="n">
        <v>0</v>
      </c>
      <c r="O558" t="n">
        <v>0</v>
      </c>
      <c r="P558" t="n">
        <v>0</v>
      </c>
      <c r="Q558" t="n">
        <v>0</v>
      </c>
      <c r="R558" s="2" t="inlineStr"/>
    </row>
    <row r="559" ht="15" customHeight="1">
      <c r="A559" t="inlineStr">
        <is>
          <t>A 1562-2025</t>
        </is>
      </c>
      <c r="B559" s="1" t="n">
        <v>45670.54126157407</v>
      </c>
      <c r="C559" s="1" t="n">
        <v>46158</v>
      </c>
      <c r="D559" t="inlineStr">
        <is>
          <t>VÄSTERBOTTENS LÄN</t>
        </is>
      </c>
      <c r="E559" t="inlineStr">
        <is>
          <t>NORSJÖ</t>
        </is>
      </c>
      <c r="G559" t="n">
        <v>3.8</v>
      </c>
      <c r="H559" t="n">
        <v>0</v>
      </c>
      <c r="I559" t="n">
        <v>0</v>
      </c>
      <c r="J559" t="n">
        <v>0</v>
      </c>
      <c r="K559" t="n">
        <v>0</v>
      </c>
      <c r="L559" t="n">
        <v>0</v>
      </c>
      <c r="M559" t="n">
        <v>0</v>
      </c>
      <c r="N559" t="n">
        <v>0</v>
      </c>
      <c r="O559" t="n">
        <v>0</v>
      </c>
      <c r="P559" t="n">
        <v>0</v>
      </c>
      <c r="Q559" t="n">
        <v>0</v>
      </c>
      <c r="R559" s="2" t="inlineStr"/>
    </row>
    <row r="560" ht="15" customHeight="1">
      <c r="A560" t="inlineStr">
        <is>
          <t>A 52568-2024</t>
        </is>
      </c>
      <c r="B560" s="1" t="n">
        <v>45609.66168981481</v>
      </c>
      <c r="C560" s="1" t="n">
        <v>46158</v>
      </c>
      <c r="D560" t="inlineStr">
        <is>
          <t>VÄSTERBOTTENS LÄN</t>
        </is>
      </c>
      <c r="E560" t="inlineStr">
        <is>
          <t>NORSJÖ</t>
        </is>
      </c>
      <c r="G560" t="n">
        <v>4</v>
      </c>
      <c r="H560" t="n">
        <v>0</v>
      </c>
      <c r="I560" t="n">
        <v>0</v>
      </c>
      <c r="J560" t="n">
        <v>0</v>
      </c>
      <c r="K560" t="n">
        <v>0</v>
      </c>
      <c r="L560" t="n">
        <v>0</v>
      </c>
      <c r="M560" t="n">
        <v>0</v>
      </c>
      <c r="N560" t="n">
        <v>0</v>
      </c>
      <c r="O560" t="n">
        <v>0</v>
      </c>
      <c r="P560" t="n">
        <v>0</v>
      </c>
      <c r="Q560" t="n">
        <v>0</v>
      </c>
      <c r="R560" s="2" t="inlineStr"/>
    </row>
    <row r="561" ht="15" customHeight="1">
      <c r="A561" t="inlineStr">
        <is>
          <t>A 38812-2023</t>
        </is>
      </c>
      <c r="B561" s="1" t="n">
        <v>45163</v>
      </c>
      <c r="C561" s="1" t="n">
        <v>46158</v>
      </c>
      <c r="D561" t="inlineStr">
        <is>
          <t>VÄSTERBOTTENS LÄN</t>
        </is>
      </c>
      <c r="E561" t="inlineStr">
        <is>
          <t>NORSJÖ</t>
        </is>
      </c>
      <c r="F561" t="inlineStr">
        <is>
          <t>Sveaskog</t>
        </is>
      </c>
      <c r="G561" t="n">
        <v>15.5</v>
      </c>
      <c r="H561" t="n">
        <v>0</v>
      </c>
      <c r="I561" t="n">
        <v>0</v>
      </c>
      <c r="J561" t="n">
        <v>0</v>
      </c>
      <c r="K561" t="n">
        <v>0</v>
      </c>
      <c r="L561" t="n">
        <v>0</v>
      </c>
      <c r="M561" t="n">
        <v>0</v>
      </c>
      <c r="N561" t="n">
        <v>0</v>
      </c>
      <c r="O561" t="n">
        <v>0</v>
      </c>
      <c r="P561" t="n">
        <v>0</v>
      </c>
      <c r="Q561" t="n">
        <v>0</v>
      </c>
      <c r="R561" s="2" t="inlineStr"/>
    </row>
    <row r="562" ht="15" customHeight="1">
      <c r="A562" t="inlineStr">
        <is>
          <t>A 40385-2023</t>
        </is>
      </c>
      <c r="B562" s="1" t="n">
        <v>45169</v>
      </c>
      <c r="C562" s="1" t="n">
        <v>46158</v>
      </c>
      <c r="D562" t="inlineStr">
        <is>
          <t>VÄSTERBOTTENS LÄN</t>
        </is>
      </c>
      <c r="E562" t="inlineStr">
        <is>
          <t>NORSJÖ</t>
        </is>
      </c>
      <c r="G562" t="n">
        <v>37.1</v>
      </c>
      <c r="H562" t="n">
        <v>0</v>
      </c>
      <c r="I562" t="n">
        <v>0</v>
      </c>
      <c r="J562" t="n">
        <v>0</v>
      </c>
      <c r="K562" t="n">
        <v>0</v>
      </c>
      <c r="L562" t="n">
        <v>0</v>
      </c>
      <c r="M562" t="n">
        <v>0</v>
      </c>
      <c r="N562" t="n">
        <v>0</v>
      </c>
      <c r="O562" t="n">
        <v>0</v>
      </c>
      <c r="P562" t="n">
        <v>0</v>
      </c>
      <c r="Q562" t="n">
        <v>0</v>
      </c>
      <c r="R562" s="2" t="inlineStr"/>
    </row>
    <row r="563" ht="15" customHeight="1">
      <c r="A563" t="inlineStr">
        <is>
          <t>A 16661-2025</t>
        </is>
      </c>
      <c r="B563" s="1" t="n">
        <v>45754.41447916667</v>
      </c>
      <c r="C563" s="1" t="n">
        <v>46158</v>
      </c>
      <c r="D563" t="inlineStr">
        <is>
          <t>VÄSTERBOTTENS LÄN</t>
        </is>
      </c>
      <c r="E563" t="inlineStr">
        <is>
          <t>NORSJÖ</t>
        </is>
      </c>
      <c r="G563" t="n">
        <v>2.7</v>
      </c>
      <c r="H563" t="n">
        <v>0</v>
      </c>
      <c r="I563" t="n">
        <v>0</v>
      </c>
      <c r="J563" t="n">
        <v>0</v>
      </c>
      <c r="K563" t="n">
        <v>0</v>
      </c>
      <c r="L563" t="n">
        <v>0</v>
      </c>
      <c r="M563" t="n">
        <v>0</v>
      </c>
      <c r="N563" t="n">
        <v>0</v>
      </c>
      <c r="O563" t="n">
        <v>0</v>
      </c>
      <c r="P563" t="n">
        <v>0</v>
      </c>
      <c r="Q563" t="n">
        <v>0</v>
      </c>
      <c r="R563" s="2" t="inlineStr"/>
    </row>
    <row r="564" ht="15" customHeight="1">
      <c r="A564" t="inlineStr">
        <is>
          <t>A 13628-2025</t>
        </is>
      </c>
      <c r="B564" s="1" t="n">
        <v>45736</v>
      </c>
      <c r="C564" s="1" t="n">
        <v>46158</v>
      </c>
      <c r="D564" t="inlineStr">
        <is>
          <t>VÄSTERBOTTENS LÄN</t>
        </is>
      </c>
      <c r="E564" t="inlineStr">
        <is>
          <t>NORSJÖ</t>
        </is>
      </c>
      <c r="G564" t="n">
        <v>0.6</v>
      </c>
      <c r="H564" t="n">
        <v>0</v>
      </c>
      <c r="I564" t="n">
        <v>0</v>
      </c>
      <c r="J564" t="n">
        <v>0</v>
      </c>
      <c r="K564" t="n">
        <v>0</v>
      </c>
      <c r="L564" t="n">
        <v>0</v>
      </c>
      <c r="M564" t="n">
        <v>0</v>
      </c>
      <c r="N564" t="n">
        <v>0</v>
      </c>
      <c r="O564" t="n">
        <v>0</v>
      </c>
      <c r="P564" t="n">
        <v>0</v>
      </c>
      <c r="Q564" t="n">
        <v>0</v>
      </c>
      <c r="R564" s="2" t="inlineStr"/>
    </row>
    <row r="565" ht="15" customHeight="1">
      <c r="A565" t="inlineStr">
        <is>
          <t>A 60782-2024</t>
        </is>
      </c>
      <c r="B565" s="1" t="n">
        <v>45644.59050925926</v>
      </c>
      <c r="C565" s="1" t="n">
        <v>46158</v>
      </c>
      <c r="D565" t="inlineStr">
        <is>
          <t>VÄSTERBOTTENS LÄN</t>
        </is>
      </c>
      <c r="E565" t="inlineStr">
        <is>
          <t>NORSJÖ</t>
        </is>
      </c>
      <c r="G565" t="n">
        <v>7.8</v>
      </c>
      <c r="H565" t="n">
        <v>0</v>
      </c>
      <c r="I565" t="n">
        <v>0</v>
      </c>
      <c r="J565" t="n">
        <v>0</v>
      </c>
      <c r="K565" t="n">
        <v>0</v>
      </c>
      <c r="L565" t="n">
        <v>0</v>
      </c>
      <c r="M565" t="n">
        <v>0</v>
      </c>
      <c r="N565" t="n">
        <v>0</v>
      </c>
      <c r="O565" t="n">
        <v>0</v>
      </c>
      <c r="P565" t="n">
        <v>0</v>
      </c>
      <c r="Q565" t="n">
        <v>0</v>
      </c>
      <c r="R565" s="2" t="inlineStr"/>
    </row>
    <row r="566" ht="15" customHeight="1">
      <c r="A566" t="inlineStr">
        <is>
          <t>A 52133-2024</t>
        </is>
      </c>
      <c r="B566" s="1" t="n">
        <v>45608.48483796296</v>
      </c>
      <c r="C566" s="1" t="n">
        <v>46158</v>
      </c>
      <c r="D566" t="inlineStr">
        <is>
          <t>VÄSTERBOTTENS LÄN</t>
        </is>
      </c>
      <c r="E566" t="inlineStr">
        <is>
          <t>NORSJÖ</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50796-2022</t>
        </is>
      </c>
      <c r="B567" s="1" t="n">
        <v>44867</v>
      </c>
      <c r="C567" s="1" t="n">
        <v>46158</v>
      </c>
      <c r="D567" t="inlineStr">
        <is>
          <t>VÄSTERBOTTENS LÄN</t>
        </is>
      </c>
      <c r="E567" t="inlineStr">
        <is>
          <t>NORSJÖ</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25080-2024</t>
        </is>
      </c>
      <c r="B568" s="1" t="n">
        <v>45462.38275462963</v>
      </c>
      <c r="C568" s="1" t="n">
        <v>46158</v>
      </c>
      <c r="D568" t="inlineStr">
        <is>
          <t>VÄSTERBOTTENS LÄN</t>
        </is>
      </c>
      <c r="E568" t="inlineStr">
        <is>
          <t>NORSJÖ</t>
        </is>
      </c>
      <c r="G568" t="n">
        <v>0.3</v>
      </c>
      <c r="H568" t="n">
        <v>0</v>
      </c>
      <c r="I568" t="n">
        <v>0</v>
      </c>
      <c r="J568" t="n">
        <v>0</v>
      </c>
      <c r="K568" t="n">
        <v>0</v>
      </c>
      <c r="L568" t="n">
        <v>0</v>
      </c>
      <c r="M568" t="n">
        <v>0</v>
      </c>
      <c r="N568" t="n">
        <v>0</v>
      </c>
      <c r="O568" t="n">
        <v>0</v>
      </c>
      <c r="P568" t="n">
        <v>0</v>
      </c>
      <c r="Q568" t="n">
        <v>0</v>
      </c>
      <c r="R568" s="2" t="inlineStr"/>
    </row>
    <row r="569" ht="15" customHeight="1">
      <c r="A569" t="inlineStr">
        <is>
          <t>A 25084-2024</t>
        </is>
      </c>
      <c r="B569" s="1" t="n">
        <v>45462.38805555556</v>
      </c>
      <c r="C569" s="1" t="n">
        <v>46158</v>
      </c>
      <c r="D569" t="inlineStr">
        <is>
          <t>VÄSTERBOTTENS LÄN</t>
        </is>
      </c>
      <c r="E569" t="inlineStr">
        <is>
          <t>NORSJÖ</t>
        </is>
      </c>
      <c r="G569" t="n">
        <v>2.9</v>
      </c>
      <c r="H569" t="n">
        <v>0</v>
      </c>
      <c r="I569" t="n">
        <v>0</v>
      </c>
      <c r="J569" t="n">
        <v>0</v>
      </c>
      <c r="K569" t="n">
        <v>0</v>
      </c>
      <c r="L569" t="n">
        <v>0</v>
      </c>
      <c r="M569" t="n">
        <v>0</v>
      </c>
      <c r="N569" t="n">
        <v>0</v>
      </c>
      <c r="O569" t="n">
        <v>0</v>
      </c>
      <c r="P569" t="n">
        <v>0</v>
      </c>
      <c r="Q569" t="n">
        <v>0</v>
      </c>
      <c r="R569" s="2" t="inlineStr"/>
    </row>
    <row r="570" ht="15" customHeight="1">
      <c r="A570" t="inlineStr">
        <is>
          <t>A 1334-2025</t>
        </is>
      </c>
      <c r="B570" s="1" t="n">
        <v>45667.5803125</v>
      </c>
      <c r="C570" s="1" t="n">
        <v>46158</v>
      </c>
      <c r="D570" t="inlineStr">
        <is>
          <t>VÄSTERBOTTENS LÄN</t>
        </is>
      </c>
      <c r="E570" t="inlineStr">
        <is>
          <t>NORSJÖ</t>
        </is>
      </c>
      <c r="G570" t="n">
        <v>1.7</v>
      </c>
      <c r="H570" t="n">
        <v>0</v>
      </c>
      <c r="I570" t="n">
        <v>0</v>
      </c>
      <c r="J570" t="n">
        <v>0</v>
      </c>
      <c r="K570" t="n">
        <v>0</v>
      </c>
      <c r="L570" t="n">
        <v>0</v>
      </c>
      <c r="M570" t="n">
        <v>0</v>
      </c>
      <c r="N570" t="n">
        <v>0</v>
      </c>
      <c r="O570" t="n">
        <v>0</v>
      </c>
      <c r="P570" t="n">
        <v>0</v>
      </c>
      <c r="Q570" t="n">
        <v>0</v>
      </c>
      <c r="R570" s="2" t="inlineStr"/>
    </row>
    <row r="571" ht="15" customHeight="1">
      <c r="A571" t="inlineStr">
        <is>
          <t>A 16231-2025</t>
        </is>
      </c>
      <c r="B571" s="1" t="n">
        <v>45750.65398148148</v>
      </c>
      <c r="C571" s="1" t="n">
        <v>46158</v>
      </c>
      <c r="D571" t="inlineStr">
        <is>
          <t>VÄSTERBOTTENS LÄN</t>
        </is>
      </c>
      <c r="E571" t="inlineStr">
        <is>
          <t>NORSJÖ</t>
        </is>
      </c>
      <c r="G571" t="n">
        <v>5.8</v>
      </c>
      <c r="H571" t="n">
        <v>0</v>
      </c>
      <c r="I571" t="n">
        <v>0</v>
      </c>
      <c r="J571" t="n">
        <v>0</v>
      </c>
      <c r="K571" t="n">
        <v>0</v>
      </c>
      <c r="L571" t="n">
        <v>0</v>
      </c>
      <c r="M571" t="n">
        <v>0</v>
      </c>
      <c r="N571" t="n">
        <v>0</v>
      </c>
      <c r="O571" t="n">
        <v>0</v>
      </c>
      <c r="P571" t="n">
        <v>0</v>
      </c>
      <c r="Q571" t="n">
        <v>0</v>
      </c>
      <c r="R571" s="2" t="inlineStr"/>
    </row>
    <row r="572" ht="15" customHeight="1">
      <c r="A572" t="inlineStr">
        <is>
          <t>A 27457-2024</t>
        </is>
      </c>
      <c r="B572" s="1" t="n">
        <v>45474.43996527778</v>
      </c>
      <c r="C572" s="1" t="n">
        <v>46158</v>
      </c>
      <c r="D572" t="inlineStr">
        <is>
          <t>VÄSTERBOTTENS LÄN</t>
        </is>
      </c>
      <c r="E572" t="inlineStr">
        <is>
          <t>NORSJÖ</t>
        </is>
      </c>
      <c r="F572" t="inlineStr">
        <is>
          <t>Holmen skog AB</t>
        </is>
      </c>
      <c r="G572" t="n">
        <v>20.6</v>
      </c>
      <c r="H572" t="n">
        <v>0</v>
      </c>
      <c r="I572" t="n">
        <v>0</v>
      </c>
      <c r="J572" t="n">
        <v>0</v>
      </c>
      <c r="K572" t="n">
        <v>0</v>
      </c>
      <c r="L572" t="n">
        <v>0</v>
      </c>
      <c r="M572" t="n">
        <v>0</v>
      </c>
      <c r="N572" t="n">
        <v>0</v>
      </c>
      <c r="O572" t="n">
        <v>0</v>
      </c>
      <c r="P572" t="n">
        <v>0</v>
      </c>
      <c r="Q572" t="n">
        <v>0</v>
      </c>
      <c r="R572" s="2" t="inlineStr"/>
    </row>
    <row r="573" ht="15" customHeight="1">
      <c r="A573" t="inlineStr">
        <is>
          <t>A 24819-2023</t>
        </is>
      </c>
      <c r="B573" s="1" t="n">
        <v>45084</v>
      </c>
      <c r="C573" s="1" t="n">
        <v>46158</v>
      </c>
      <c r="D573" t="inlineStr">
        <is>
          <t>VÄSTERBOTTENS LÄN</t>
        </is>
      </c>
      <c r="E573" t="inlineStr">
        <is>
          <t>NORSJÖ</t>
        </is>
      </c>
      <c r="G573" t="n">
        <v>4.6</v>
      </c>
      <c r="H573" t="n">
        <v>0</v>
      </c>
      <c r="I573" t="n">
        <v>0</v>
      </c>
      <c r="J573" t="n">
        <v>0</v>
      </c>
      <c r="K573" t="n">
        <v>0</v>
      </c>
      <c r="L573" t="n">
        <v>0</v>
      </c>
      <c r="M573" t="n">
        <v>0</v>
      </c>
      <c r="N573" t="n">
        <v>0</v>
      </c>
      <c r="O573" t="n">
        <v>0</v>
      </c>
      <c r="P573" t="n">
        <v>0</v>
      </c>
      <c r="Q573" t="n">
        <v>0</v>
      </c>
      <c r="R573" s="2" t="inlineStr"/>
    </row>
    <row r="574" ht="15" customHeight="1">
      <c r="A574" t="inlineStr">
        <is>
          <t>A 47317-2024</t>
        </is>
      </c>
      <c r="B574" s="1" t="n">
        <v>45587.37518518518</v>
      </c>
      <c r="C574" s="1" t="n">
        <v>46158</v>
      </c>
      <c r="D574" t="inlineStr">
        <is>
          <t>VÄSTERBOTTENS LÄN</t>
        </is>
      </c>
      <c r="E574" t="inlineStr">
        <is>
          <t>NORSJÖ</t>
        </is>
      </c>
      <c r="F574" t="inlineStr">
        <is>
          <t>Sveaskog</t>
        </is>
      </c>
      <c r="G574" t="n">
        <v>13.4</v>
      </c>
      <c r="H574" t="n">
        <v>0</v>
      </c>
      <c r="I574" t="n">
        <v>0</v>
      </c>
      <c r="J574" t="n">
        <v>0</v>
      </c>
      <c r="K574" t="n">
        <v>0</v>
      </c>
      <c r="L574" t="n">
        <v>0</v>
      </c>
      <c r="M574" t="n">
        <v>0</v>
      </c>
      <c r="N574" t="n">
        <v>0</v>
      </c>
      <c r="O574" t="n">
        <v>0</v>
      </c>
      <c r="P574" t="n">
        <v>0</v>
      </c>
      <c r="Q574" t="n">
        <v>0</v>
      </c>
      <c r="R574" s="2" t="inlineStr"/>
    </row>
    <row r="575" ht="15" customHeight="1">
      <c r="A575" t="inlineStr">
        <is>
          <t>A 29776-2023</t>
        </is>
      </c>
      <c r="B575" s="1" t="n">
        <v>45107</v>
      </c>
      <c r="C575" s="1" t="n">
        <v>46158</v>
      </c>
      <c r="D575" t="inlineStr">
        <is>
          <t>VÄSTERBOTTENS LÄN</t>
        </is>
      </c>
      <c r="E575" t="inlineStr">
        <is>
          <t>NORSJÖ</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44366-2024</t>
        </is>
      </c>
      <c r="B576" s="1" t="n">
        <v>45573.64682870371</v>
      </c>
      <c r="C576" s="1" t="n">
        <v>46158</v>
      </c>
      <c r="D576" t="inlineStr">
        <is>
          <t>VÄSTERBOTTENS LÄN</t>
        </is>
      </c>
      <c r="E576" t="inlineStr">
        <is>
          <t>NORSJÖ</t>
        </is>
      </c>
      <c r="F576" t="inlineStr">
        <is>
          <t>Holmen skog AB</t>
        </is>
      </c>
      <c r="G576" t="n">
        <v>2.7</v>
      </c>
      <c r="H576" t="n">
        <v>0</v>
      </c>
      <c r="I576" t="n">
        <v>0</v>
      </c>
      <c r="J576" t="n">
        <v>0</v>
      </c>
      <c r="K576" t="n">
        <v>0</v>
      </c>
      <c r="L576" t="n">
        <v>0</v>
      </c>
      <c r="M576" t="n">
        <v>0</v>
      </c>
      <c r="N576" t="n">
        <v>0</v>
      </c>
      <c r="O576" t="n">
        <v>0</v>
      </c>
      <c r="P576" t="n">
        <v>0</v>
      </c>
      <c r="Q576" t="n">
        <v>0</v>
      </c>
      <c r="R576" s="2" t="inlineStr"/>
    </row>
    <row r="577" ht="15" customHeight="1">
      <c r="A577" t="inlineStr">
        <is>
          <t>A 793-2024</t>
        </is>
      </c>
      <c r="B577" s="1" t="n">
        <v>45300</v>
      </c>
      <c r="C577" s="1" t="n">
        <v>46158</v>
      </c>
      <c r="D577" t="inlineStr">
        <is>
          <t>VÄSTERBOTTENS LÄN</t>
        </is>
      </c>
      <c r="E577" t="inlineStr">
        <is>
          <t>NORSJÖ</t>
        </is>
      </c>
      <c r="G577" t="n">
        <v>1.5</v>
      </c>
      <c r="H577" t="n">
        <v>0</v>
      </c>
      <c r="I577" t="n">
        <v>0</v>
      </c>
      <c r="J577" t="n">
        <v>0</v>
      </c>
      <c r="K577" t="n">
        <v>0</v>
      </c>
      <c r="L577" t="n">
        <v>0</v>
      </c>
      <c r="M577" t="n">
        <v>0</v>
      </c>
      <c r="N577" t="n">
        <v>0</v>
      </c>
      <c r="O577" t="n">
        <v>0</v>
      </c>
      <c r="P577" t="n">
        <v>0</v>
      </c>
      <c r="Q577" t="n">
        <v>0</v>
      </c>
      <c r="R577" s="2" t="inlineStr"/>
    </row>
    <row r="578" ht="15" customHeight="1">
      <c r="A578" t="inlineStr">
        <is>
          <t>A 21002-2024</t>
        </is>
      </c>
      <c r="B578" s="1" t="n">
        <v>45439</v>
      </c>
      <c r="C578" s="1" t="n">
        <v>46158</v>
      </c>
      <c r="D578" t="inlineStr">
        <is>
          <t>VÄSTERBOTTENS LÄN</t>
        </is>
      </c>
      <c r="E578" t="inlineStr">
        <is>
          <t>NORSJÖ</t>
        </is>
      </c>
      <c r="G578" t="n">
        <v>3.3</v>
      </c>
      <c r="H578" t="n">
        <v>0</v>
      </c>
      <c r="I578" t="n">
        <v>0</v>
      </c>
      <c r="J578" t="n">
        <v>0</v>
      </c>
      <c r="K578" t="n">
        <v>0</v>
      </c>
      <c r="L578" t="n">
        <v>0</v>
      </c>
      <c r="M578" t="n">
        <v>0</v>
      </c>
      <c r="N578" t="n">
        <v>0</v>
      </c>
      <c r="O578" t="n">
        <v>0</v>
      </c>
      <c r="P578" t="n">
        <v>0</v>
      </c>
      <c r="Q578" t="n">
        <v>0</v>
      </c>
      <c r="R578" s="2" t="inlineStr"/>
    </row>
    <row r="579" ht="15" customHeight="1">
      <c r="A579" t="inlineStr">
        <is>
          <t>A 40088-2023</t>
        </is>
      </c>
      <c r="B579" s="1" t="n">
        <v>45168</v>
      </c>
      <c r="C579" s="1" t="n">
        <v>46158</v>
      </c>
      <c r="D579" t="inlineStr">
        <is>
          <t>VÄSTERBOTTENS LÄN</t>
        </is>
      </c>
      <c r="E579" t="inlineStr">
        <is>
          <t>NORSJÖ</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53547-2024</t>
        </is>
      </c>
      <c r="B580" s="1" t="n">
        <v>45614.63747685185</v>
      </c>
      <c r="C580" s="1" t="n">
        <v>46158</v>
      </c>
      <c r="D580" t="inlineStr">
        <is>
          <t>VÄSTERBOTTENS LÄN</t>
        </is>
      </c>
      <c r="E580" t="inlineStr">
        <is>
          <t>NORSJÖ</t>
        </is>
      </c>
      <c r="G580" t="n">
        <v>8.6</v>
      </c>
      <c r="H580" t="n">
        <v>0</v>
      </c>
      <c r="I580" t="n">
        <v>0</v>
      </c>
      <c r="J580" t="n">
        <v>0</v>
      </c>
      <c r="K580" t="n">
        <v>0</v>
      </c>
      <c r="L580" t="n">
        <v>0</v>
      </c>
      <c r="M580" t="n">
        <v>0</v>
      </c>
      <c r="N580" t="n">
        <v>0</v>
      </c>
      <c r="O580" t="n">
        <v>0</v>
      </c>
      <c r="P580" t="n">
        <v>0</v>
      </c>
      <c r="Q580" t="n">
        <v>0</v>
      </c>
      <c r="R580" s="2" t="inlineStr"/>
    </row>
    <row r="581" ht="15" customHeight="1">
      <c r="A581" t="inlineStr">
        <is>
          <t>A 38080-2023</t>
        </is>
      </c>
      <c r="B581" s="1" t="n">
        <v>45160</v>
      </c>
      <c r="C581" s="1" t="n">
        <v>46158</v>
      </c>
      <c r="D581" t="inlineStr">
        <is>
          <t>VÄSTERBOTTENS LÄN</t>
        </is>
      </c>
      <c r="E581" t="inlineStr">
        <is>
          <t>NORSJÖ</t>
        </is>
      </c>
      <c r="G581" t="n">
        <v>1.1</v>
      </c>
      <c r="H581" t="n">
        <v>0</v>
      </c>
      <c r="I581" t="n">
        <v>0</v>
      </c>
      <c r="J581" t="n">
        <v>0</v>
      </c>
      <c r="K581" t="n">
        <v>0</v>
      </c>
      <c r="L581" t="n">
        <v>0</v>
      </c>
      <c r="M581" t="n">
        <v>0</v>
      </c>
      <c r="N581" t="n">
        <v>0</v>
      </c>
      <c r="O581" t="n">
        <v>0</v>
      </c>
      <c r="P581" t="n">
        <v>0</v>
      </c>
      <c r="Q581" t="n">
        <v>0</v>
      </c>
      <c r="R581" s="2" t="inlineStr"/>
    </row>
    <row r="582" ht="15" customHeight="1">
      <c r="A582" t="inlineStr">
        <is>
          <t>A 22218-2023</t>
        </is>
      </c>
      <c r="B582" s="1" t="n">
        <v>45069</v>
      </c>
      <c r="C582" s="1" t="n">
        <v>46158</v>
      </c>
      <c r="D582" t="inlineStr">
        <is>
          <t>VÄSTERBOTTENS LÄN</t>
        </is>
      </c>
      <c r="E582" t="inlineStr">
        <is>
          <t>NORSJÖ</t>
        </is>
      </c>
      <c r="G582" t="n">
        <v>2.3</v>
      </c>
      <c r="H582" t="n">
        <v>0</v>
      </c>
      <c r="I582" t="n">
        <v>0</v>
      </c>
      <c r="J582" t="n">
        <v>0</v>
      </c>
      <c r="K582" t="n">
        <v>0</v>
      </c>
      <c r="L582" t="n">
        <v>0</v>
      </c>
      <c r="M582" t="n">
        <v>0</v>
      </c>
      <c r="N582" t="n">
        <v>0</v>
      </c>
      <c r="O582" t="n">
        <v>0</v>
      </c>
      <c r="P582" t="n">
        <v>0</v>
      </c>
      <c r="Q582" t="n">
        <v>0</v>
      </c>
      <c r="R582" s="2" t="inlineStr"/>
    </row>
    <row r="583" ht="15" customHeight="1">
      <c r="A583" t="inlineStr">
        <is>
          <t>A 9814-2024</t>
        </is>
      </c>
      <c r="B583" s="1" t="n">
        <v>45362.96918981482</v>
      </c>
      <c r="C583" s="1" t="n">
        <v>46158</v>
      </c>
      <c r="D583" t="inlineStr">
        <is>
          <t>VÄSTERBOTTENS LÄN</t>
        </is>
      </c>
      <c r="E583" t="inlineStr">
        <is>
          <t>NORSJÖ</t>
        </is>
      </c>
      <c r="G583" t="n">
        <v>1.6</v>
      </c>
      <c r="H583" t="n">
        <v>0</v>
      </c>
      <c r="I583" t="n">
        <v>0</v>
      </c>
      <c r="J583" t="n">
        <v>0</v>
      </c>
      <c r="K583" t="n">
        <v>0</v>
      </c>
      <c r="L583" t="n">
        <v>0</v>
      </c>
      <c r="M583" t="n">
        <v>0</v>
      </c>
      <c r="N583" t="n">
        <v>0</v>
      </c>
      <c r="O583" t="n">
        <v>0</v>
      </c>
      <c r="P583" t="n">
        <v>0</v>
      </c>
      <c r="Q583" t="n">
        <v>0</v>
      </c>
      <c r="R583" s="2" t="inlineStr"/>
    </row>
    <row r="584" ht="15" customHeight="1">
      <c r="A584" t="inlineStr">
        <is>
          <t>A 38816-2023</t>
        </is>
      </c>
      <c r="B584" s="1" t="n">
        <v>45163</v>
      </c>
      <c r="C584" s="1" t="n">
        <v>46158</v>
      </c>
      <c r="D584" t="inlineStr">
        <is>
          <t>VÄSTERBOTTENS LÄN</t>
        </is>
      </c>
      <c r="E584" t="inlineStr">
        <is>
          <t>NORSJÖ</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38819-2023</t>
        </is>
      </c>
      <c r="B585" s="1" t="n">
        <v>45163</v>
      </c>
      <c r="C585" s="1" t="n">
        <v>46158</v>
      </c>
      <c r="D585" t="inlineStr">
        <is>
          <t>VÄSTERBOTTENS LÄN</t>
        </is>
      </c>
      <c r="E585" t="inlineStr">
        <is>
          <t>NORSJÖ</t>
        </is>
      </c>
      <c r="G585" t="n">
        <v>1.2</v>
      </c>
      <c r="H585" t="n">
        <v>0</v>
      </c>
      <c r="I585" t="n">
        <v>0</v>
      </c>
      <c r="J585" t="n">
        <v>0</v>
      </c>
      <c r="K585" t="n">
        <v>0</v>
      </c>
      <c r="L585" t="n">
        <v>0</v>
      </c>
      <c r="M585" t="n">
        <v>0</v>
      </c>
      <c r="N585" t="n">
        <v>0</v>
      </c>
      <c r="O585" t="n">
        <v>0</v>
      </c>
      <c r="P585" t="n">
        <v>0</v>
      </c>
      <c r="Q585" t="n">
        <v>0</v>
      </c>
      <c r="R585" s="2" t="inlineStr"/>
    </row>
    <row r="586" ht="15" customHeight="1">
      <c r="A586" t="inlineStr">
        <is>
          <t>A 38822-2023</t>
        </is>
      </c>
      <c r="B586" s="1" t="n">
        <v>45163</v>
      </c>
      <c r="C586" s="1" t="n">
        <v>46158</v>
      </c>
      <c r="D586" t="inlineStr">
        <is>
          <t>VÄSTERBOTTENS LÄN</t>
        </is>
      </c>
      <c r="E586" t="inlineStr">
        <is>
          <t>NORSJÖ</t>
        </is>
      </c>
      <c r="G586" t="n">
        <v>2.8</v>
      </c>
      <c r="H586" t="n">
        <v>0</v>
      </c>
      <c r="I586" t="n">
        <v>0</v>
      </c>
      <c r="J586" t="n">
        <v>0</v>
      </c>
      <c r="K586" t="n">
        <v>0</v>
      </c>
      <c r="L586" t="n">
        <v>0</v>
      </c>
      <c r="M586" t="n">
        <v>0</v>
      </c>
      <c r="N586" t="n">
        <v>0</v>
      </c>
      <c r="O586" t="n">
        <v>0</v>
      </c>
      <c r="P586" t="n">
        <v>0</v>
      </c>
      <c r="Q586" t="n">
        <v>0</v>
      </c>
      <c r="R586" s="2" t="inlineStr"/>
    </row>
    <row r="587" ht="15" customHeight="1">
      <c r="A587" t="inlineStr">
        <is>
          <t>A 16228-2024</t>
        </is>
      </c>
      <c r="B587" s="1" t="n">
        <v>45406</v>
      </c>
      <c r="C587" s="1" t="n">
        <v>46158</v>
      </c>
      <c r="D587" t="inlineStr">
        <is>
          <t>VÄSTERBOTTENS LÄN</t>
        </is>
      </c>
      <c r="E587" t="inlineStr">
        <is>
          <t>NORSJÖ</t>
        </is>
      </c>
      <c r="G587" t="n">
        <v>6.8</v>
      </c>
      <c r="H587" t="n">
        <v>0</v>
      </c>
      <c r="I587" t="n">
        <v>0</v>
      </c>
      <c r="J587" t="n">
        <v>0</v>
      </c>
      <c r="K587" t="n">
        <v>0</v>
      </c>
      <c r="L587" t="n">
        <v>0</v>
      </c>
      <c r="M587" t="n">
        <v>0</v>
      </c>
      <c r="N587" t="n">
        <v>0</v>
      </c>
      <c r="O587" t="n">
        <v>0</v>
      </c>
      <c r="P587" t="n">
        <v>0</v>
      </c>
      <c r="Q587" t="n">
        <v>0</v>
      </c>
      <c r="R587" s="2" t="inlineStr"/>
    </row>
    <row r="588" ht="15" customHeight="1">
      <c r="A588" t="inlineStr">
        <is>
          <t>A 39995-2021</t>
        </is>
      </c>
      <c r="B588" s="1" t="n">
        <v>44417</v>
      </c>
      <c r="C588" s="1" t="n">
        <v>46158</v>
      </c>
      <c r="D588" t="inlineStr">
        <is>
          <t>VÄSTERBOTTENS LÄN</t>
        </is>
      </c>
      <c r="E588" t="inlineStr">
        <is>
          <t>NORSJÖ</t>
        </is>
      </c>
      <c r="G588" t="n">
        <v>2.1</v>
      </c>
      <c r="H588" t="n">
        <v>0</v>
      </c>
      <c r="I588" t="n">
        <v>0</v>
      </c>
      <c r="J588" t="n">
        <v>0</v>
      </c>
      <c r="K588" t="n">
        <v>0</v>
      </c>
      <c r="L588" t="n">
        <v>0</v>
      </c>
      <c r="M588" t="n">
        <v>0</v>
      </c>
      <c r="N588" t="n">
        <v>0</v>
      </c>
      <c r="O588" t="n">
        <v>0</v>
      </c>
      <c r="P588" t="n">
        <v>0</v>
      </c>
      <c r="Q588" t="n">
        <v>0</v>
      </c>
      <c r="R588" s="2" t="inlineStr"/>
    </row>
    <row r="589" ht="15" customHeight="1">
      <c r="A589" t="inlineStr">
        <is>
          <t>A 2964-2025</t>
        </is>
      </c>
      <c r="B589" s="1" t="n">
        <v>45678.45819444444</v>
      </c>
      <c r="C589" s="1" t="n">
        <v>46158</v>
      </c>
      <c r="D589" t="inlineStr">
        <is>
          <t>VÄSTERBOTTENS LÄN</t>
        </is>
      </c>
      <c r="E589" t="inlineStr">
        <is>
          <t>NORSJÖ</t>
        </is>
      </c>
      <c r="G589" t="n">
        <v>4</v>
      </c>
      <c r="H589" t="n">
        <v>0</v>
      </c>
      <c r="I589" t="n">
        <v>0</v>
      </c>
      <c r="J589" t="n">
        <v>0</v>
      </c>
      <c r="K589" t="n">
        <v>0</v>
      </c>
      <c r="L589" t="n">
        <v>0</v>
      </c>
      <c r="M589" t="n">
        <v>0</v>
      </c>
      <c r="N589" t="n">
        <v>0</v>
      </c>
      <c r="O589" t="n">
        <v>0</v>
      </c>
      <c r="P589" t="n">
        <v>0</v>
      </c>
      <c r="Q589" t="n">
        <v>0</v>
      </c>
      <c r="R589" s="2" t="inlineStr"/>
    </row>
    <row r="590" ht="15" customHeight="1">
      <c r="A590" t="inlineStr">
        <is>
          <t>A 19412-2024</t>
        </is>
      </c>
      <c r="B590" s="1" t="n">
        <v>45429.40755787037</v>
      </c>
      <c r="C590" s="1" t="n">
        <v>46158</v>
      </c>
      <c r="D590" t="inlineStr">
        <is>
          <t>VÄSTERBOTTENS LÄN</t>
        </is>
      </c>
      <c r="E590" t="inlineStr">
        <is>
          <t>NORSJÖ</t>
        </is>
      </c>
      <c r="F590" t="inlineStr">
        <is>
          <t>Holmen skog AB</t>
        </is>
      </c>
      <c r="G590" t="n">
        <v>8.6</v>
      </c>
      <c r="H590" t="n">
        <v>0</v>
      </c>
      <c r="I590" t="n">
        <v>0</v>
      </c>
      <c r="J590" t="n">
        <v>0</v>
      </c>
      <c r="K590" t="n">
        <v>0</v>
      </c>
      <c r="L590" t="n">
        <v>0</v>
      </c>
      <c r="M590" t="n">
        <v>0</v>
      </c>
      <c r="N590" t="n">
        <v>0</v>
      </c>
      <c r="O590" t="n">
        <v>0</v>
      </c>
      <c r="P590" t="n">
        <v>0</v>
      </c>
      <c r="Q590" t="n">
        <v>0</v>
      </c>
      <c r="R590" s="2" t="inlineStr"/>
    </row>
    <row r="591" ht="15" customHeight="1">
      <c r="A591" t="inlineStr">
        <is>
          <t>A 47224-2024</t>
        </is>
      </c>
      <c r="B591" s="1" t="n">
        <v>45586.67015046296</v>
      </c>
      <c r="C591" s="1" t="n">
        <v>46158</v>
      </c>
      <c r="D591" t="inlineStr">
        <is>
          <t>VÄSTERBOTTENS LÄN</t>
        </is>
      </c>
      <c r="E591" t="inlineStr">
        <is>
          <t>NORSJÖ</t>
        </is>
      </c>
      <c r="F591" t="inlineStr">
        <is>
          <t>Sveaskog</t>
        </is>
      </c>
      <c r="G591" t="n">
        <v>7.8</v>
      </c>
      <c r="H591" t="n">
        <v>0</v>
      </c>
      <c r="I591" t="n">
        <v>0</v>
      </c>
      <c r="J591" t="n">
        <v>0</v>
      </c>
      <c r="K591" t="n">
        <v>0</v>
      </c>
      <c r="L591" t="n">
        <v>0</v>
      </c>
      <c r="M591" t="n">
        <v>0</v>
      </c>
      <c r="N591" t="n">
        <v>0</v>
      </c>
      <c r="O591" t="n">
        <v>0</v>
      </c>
      <c r="P591" t="n">
        <v>0</v>
      </c>
      <c r="Q591" t="n">
        <v>0</v>
      </c>
      <c r="R591" s="2" t="inlineStr"/>
    </row>
    <row r="592" ht="15" customHeight="1">
      <c r="A592" t="inlineStr">
        <is>
          <t>A 60663-2024</t>
        </is>
      </c>
      <c r="B592" s="1" t="n">
        <v>45644</v>
      </c>
      <c r="C592" s="1" t="n">
        <v>46158</v>
      </c>
      <c r="D592" t="inlineStr">
        <is>
          <t>VÄSTERBOTTENS LÄN</t>
        </is>
      </c>
      <c r="E592" t="inlineStr">
        <is>
          <t>NORSJÖ</t>
        </is>
      </c>
      <c r="F592" t="inlineStr">
        <is>
          <t>Kommuner</t>
        </is>
      </c>
      <c r="G592" t="n">
        <v>6.2</v>
      </c>
      <c r="H592" t="n">
        <v>0</v>
      </c>
      <c r="I592" t="n">
        <v>0</v>
      </c>
      <c r="J592" t="n">
        <v>0</v>
      </c>
      <c r="K592" t="n">
        <v>0</v>
      </c>
      <c r="L592" t="n">
        <v>0</v>
      </c>
      <c r="M592" t="n">
        <v>0</v>
      </c>
      <c r="N592" t="n">
        <v>0</v>
      </c>
      <c r="O592" t="n">
        <v>0</v>
      </c>
      <c r="P592" t="n">
        <v>0</v>
      </c>
      <c r="Q592" t="n">
        <v>0</v>
      </c>
      <c r="R592" s="2" t="inlineStr"/>
    </row>
    <row r="593" ht="15" customHeight="1">
      <c r="A593" t="inlineStr">
        <is>
          <t>A 16036-2025</t>
        </is>
      </c>
      <c r="B593" s="1" t="n">
        <v>45748</v>
      </c>
      <c r="C593" s="1" t="n">
        <v>46158</v>
      </c>
      <c r="D593" t="inlineStr">
        <is>
          <t>VÄSTERBOTTENS LÄN</t>
        </is>
      </c>
      <c r="E593" t="inlineStr">
        <is>
          <t>NORSJÖ</t>
        </is>
      </c>
      <c r="G593" t="n">
        <v>6.7</v>
      </c>
      <c r="H593" t="n">
        <v>0</v>
      </c>
      <c r="I593" t="n">
        <v>0</v>
      </c>
      <c r="J593" t="n">
        <v>0</v>
      </c>
      <c r="K593" t="n">
        <v>0</v>
      </c>
      <c r="L593" t="n">
        <v>0</v>
      </c>
      <c r="M593" t="n">
        <v>0</v>
      </c>
      <c r="N593" t="n">
        <v>0</v>
      </c>
      <c r="O593" t="n">
        <v>0</v>
      </c>
      <c r="P593" t="n">
        <v>0</v>
      </c>
      <c r="Q593" t="n">
        <v>0</v>
      </c>
      <c r="R593" s="2" t="inlineStr"/>
    </row>
    <row r="594" ht="15" customHeight="1">
      <c r="A594" t="inlineStr">
        <is>
          <t>A 41646-2023</t>
        </is>
      </c>
      <c r="B594" s="1" t="n">
        <v>45175.92457175926</v>
      </c>
      <c r="C594" s="1" t="n">
        <v>46158</v>
      </c>
      <c r="D594" t="inlineStr">
        <is>
          <t>VÄSTERBOTTENS LÄN</t>
        </is>
      </c>
      <c r="E594" t="inlineStr">
        <is>
          <t>NORSJÖ</t>
        </is>
      </c>
      <c r="G594" t="n">
        <v>8.1</v>
      </c>
      <c r="H594" t="n">
        <v>0</v>
      </c>
      <c r="I594" t="n">
        <v>0</v>
      </c>
      <c r="J594" t="n">
        <v>0</v>
      </c>
      <c r="K594" t="n">
        <v>0</v>
      </c>
      <c r="L594" t="n">
        <v>0</v>
      </c>
      <c r="M594" t="n">
        <v>0</v>
      </c>
      <c r="N594" t="n">
        <v>0</v>
      </c>
      <c r="O594" t="n">
        <v>0</v>
      </c>
      <c r="P594" t="n">
        <v>0</v>
      </c>
      <c r="Q594" t="n">
        <v>0</v>
      </c>
      <c r="R594" s="2" t="inlineStr"/>
    </row>
    <row r="595" ht="15" customHeight="1">
      <c r="A595" t="inlineStr">
        <is>
          <t>A 55929-2024</t>
        </is>
      </c>
      <c r="B595" s="1" t="n">
        <v>45623.60400462963</v>
      </c>
      <c r="C595" s="1" t="n">
        <v>46158</v>
      </c>
      <c r="D595" t="inlineStr">
        <is>
          <t>VÄSTERBOTTENS LÄN</t>
        </is>
      </c>
      <c r="E595" t="inlineStr">
        <is>
          <t>NORSJÖ</t>
        </is>
      </c>
      <c r="G595" t="n">
        <v>3.1</v>
      </c>
      <c r="H595" t="n">
        <v>0</v>
      </c>
      <c r="I595" t="n">
        <v>0</v>
      </c>
      <c r="J595" t="n">
        <v>0</v>
      </c>
      <c r="K595" t="n">
        <v>0</v>
      </c>
      <c r="L595" t="n">
        <v>0</v>
      </c>
      <c r="M595" t="n">
        <v>0</v>
      </c>
      <c r="N595" t="n">
        <v>0</v>
      </c>
      <c r="O595" t="n">
        <v>0</v>
      </c>
      <c r="P595" t="n">
        <v>0</v>
      </c>
      <c r="Q595" t="n">
        <v>0</v>
      </c>
      <c r="R595" s="2" t="inlineStr"/>
    </row>
    <row r="596" ht="15" customHeight="1">
      <c r="A596" t="inlineStr">
        <is>
          <t>A 55936-2024</t>
        </is>
      </c>
      <c r="B596" s="1" t="n">
        <v>45623.60804398148</v>
      </c>
      <c r="C596" s="1" t="n">
        <v>46158</v>
      </c>
      <c r="D596" t="inlineStr">
        <is>
          <t>VÄSTERBOTTENS LÄN</t>
        </is>
      </c>
      <c r="E596" t="inlineStr">
        <is>
          <t>NORSJÖ</t>
        </is>
      </c>
      <c r="G596" t="n">
        <v>1.5</v>
      </c>
      <c r="H596" t="n">
        <v>0</v>
      </c>
      <c r="I596" t="n">
        <v>0</v>
      </c>
      <c r="J596" t="n">
        <v>0</v>
      </c>
      <c r="K596" t="n">
        <v>0</v>
      </c>
      <c r="L596" t="n">
        <v>0</v>
      </c>
      <c r="M596" t="n">
        <v>0</v>
      </c>
      <c r="N596" t="n">
        <v>0</v>
      </c>
      <c r="O596" t="n">
        <v>0</v>
      </c>
      <c r="P596" t="n">
        <v>0</v>
      </c>
      <c r="Q596" t="n">
        <v>0</v>
      </c>
      <c r="R596" s="2" t="inlineStr"/>
    </row>
    <row r="597" ht="15" customHeight="1">
      <c r="A597" t="inlineStr">
        <is>
          <t>A 16229-2025</t>
        </is>
      </c>
      <c r="B597" s="1" t="n">
        <v>45750.65299768518</v>
      </c>
      <c r="C597" s="1" t="n">
        <v>46158</v>
      </c>
      <c r="D597" t="inlineStr">
        <is>
          <t>VÄSTERBOTTENS LÄN</t>
        </is>
      </c>
      <c r="E597" t="inlineStr">
        <is>
          <t>NORSJÖ</t>
        </is>
      </c>
      <c r="G597" t="n">
        <v>5</v>
      </c>
      <c r="H597" t="n">
        <v>0</v>
      </c>
      <c r="I597" t="n">
        <v>0</v>
      </c>
      <c r="J597" t="n">
        <v>0</v>
      </c>
      <c r="K597" t="n">
        <v>0</v>
      </c>
      <c r="L597" t="n">
        <v>0</v>
      </c>
      <c r="M597" t="n">
        <v>0</v>
      </c>
      <c r="N597" t="n">
        <v>0</v>
      </c>
      <c r="O597" t="n">
        <v>0</v>
      </c>
      <c r="P597" t="n">
        <v>0</v>
      </c>
      <c r="Q597" t="n">
        <v>0</v>
      </c>
      <c r="R597" s="2" t="inlineStr"/>
    </row>
    <row r="598" ht="15" customHeight="1">
      <c r="A598" t="inlineStr">
        <is>
          <t>A 16232-2025</t>
        </is>
      </c>
      <c r="B598" s="1" t="n">
        <v>45750.65483796296</v>
      </c>
      <c r="C598" s="1" t="n">
        <v>46158</v>
      </c>
      <c r="D598" t="inlineStr">
        <is>
          <t>VÄSTERBOTTENS LÄN</t>
        </is>
      </c>
      <c r="E598" t="inlineStr">
        <is>
          <t>NORSJÖ</t>
        </is>
      </c>
      <c r="G598" t="n">
        <v>2</v>
      </c>
      <c r="H598" t="n">
        <v>0</v>
      </c>
      <c r="I598" t="n">
        <v>0</v>
      </c>
      <c r="J598" t="n">
        <v>0</v>
      </c>
      <c r="K598" t="n">
        <v>0</v>
      </c>
      <c r="L598" t="n">
        <v>0</v>
      </c>
      <c r="M598" t="n">
        <v>0</v>
      </c>
      <c r="N598" t="n">
        <v>0</v>
      </c>
      <c r="O598" t="n">
        <v>0</v>
      </c>
      <c r="P598" t="n">
        <v>0</v>
      </c>
      <c r="Q598" t="n">
        <v>0</v>
      </c>
      <c r="R598" s="2" t="inlineStr"/>
    </row>
    <row r="599" ht="15" customHeight="1">
      <c r="A599" t="inlineStr">
        <is>
          <t>A 26926-2024</t>
        </is>
      </c>
      <c r="B599" s="1" t="n">
        <v>45470</v>
      </c>
      <c r="C599" s="1" t="n">
        <v>46158</v>
      </c>
      <c r="D599" t="inlineStr">
        <is>
          <t>VÄSTERBOTTENS LÄN</t>
        </is>
      </c>
      <c r="E599" t="inlineStr">
        <is>
          <t>NORSJÖ</t>
        </is>
      </c>
      <c r="G599" t="n">
        <v>1</v>
      </c>
      <c r="H599" t="n">
        <v>0</v>
      </c>
      <c r="I599" t="n">
        <v>0</v>
      </c>
      <c r="J599" t="n">
        <v>0</v>
      </c>
      <c r="K599" t="n">
        <v>0</v>
      </c>
      <c r="L599" t="n">
        <v>0</v>
      </c>
      <c r="M599" t="n">
        <v>0</v>
      </c>
      <c r="N599" t="n">
        <v>0</v>
      </c>
      <c r="O599" t="n">
        <v>0</v>
      </c>
      <c r="P599" t="n">
        <v>0</v>
      </c>
      <c r="Q599" t="n">
        <v>0</v>
      </c>
      <c r="R599" s="2" t="inlineStr"/>
    </row>
    <row r="600" ht="15" customHeight="1">
      <c r="A600" t="inlineStr">
        <is>
          <t>A 37252-2024</t>
        </is>
      </c>
      <c r="B600" s="1" t="n">
        <v>45540.3612037037</v>
      </c>
      <c r="C600" s="1" t="n">
        <v>46158</v>
      </c>
      <c r="D600" t="inlineStr">
        <is>
          <t>VÄSTERBOTTENS LÄN</t>
        </is>
      </c>
      <c r="E600" t="inlineStr">
        <is>
          <t>NORSJÖ</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5143-2023</t>
        </is>
      </c>
      <c r="B601" s="1" t="n">
        <v>44958.92283564815</v>
      </c>
      <c r="C601" s="1" t="n">
        <v>46158</v>
      </c>
      <c r="D601" t="inlineStr">
        <is>
          <t>VÄSTERBOTTENS LÄN</t>
        </is>
      </c>
      <c r="E601" t="inlineStr">
        <is>
          <t>NORSJÖ</t>
        </is>
      </c>
      <c r="G601" t="n">
        <v>2.6</v>
      </c>
      <c r="H601" t="n">
        <v>0</v>
      </c>
      <c r="I601" t="n">
        <v>0</v>
      </c>
      <c r="J601" t="n">
        <v>0</v>
      </c>
      <c r="K601" t="n">
        <v>0</v>
      </c>
      <c r="L601" t="n">
        <v>0</v>
      </c>
      <c r="M601" t="n">
        <v>0</v>
      </c>
      <c r="N601" t="n">
        <v>0</v>
      </c>
      <c r="O601" t="n">
        <v>0</v>
      </c>
      <c r="P601" t="n">
        <v>0</v>
      </c>
      <c r="Q601" t="n">
        <v>0</v>
      </c>
      <c r="R601" s="2" t="inlineStr"/>
    </row>
    <row r="602" ht="15" customHeight="1">
      <c r="A602" t="inlineStr">
        <is>
          <t>A 41890-2022</t>
        </is>
      </c>
      <c r="B602" s="1" t="n">
        <v>44830.32160879629</v>
      </c>
      <c r="C602" s="1" t="n">
        <v>46158</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ht="15" customHeight="1">
      <c r="A603" t="inlineStr">
        <is>
          <t>A 21906-2025</t>
        </is>
      </c>
      <c r="B603" s="1" t="n">
        <v>45784</v>
      </c>
      <c r="C603" s="1" t="n">
        <v>46158</v>
      </c>
      <c r="D603" t="inlineStr">
        <is>
          <t>VÄSTERBOTTENS LÄN</t>
        </is>
      </c>
      <c r="E603" t="inlineStr">
        <is>
          <t>NORSJÖ</t>
        </is>
      </c>
      <c r="G603" t="n">
        <v>2.7</v>
      </c>
      <c r="H603" t="n">
        <v>0</v>
      </c>
      <c r="I603" t="n">
        <v>0</v>
      </c>
      <c r="J603" t="n">
        <v>0</v>
      </c>
      <c r="K603" t="n">
        <v>0</v>
      </c>
      <c r="L603" t="n">
        <v>0</v>
      </c>
      <c r="M603" t="n">
        <v>0</v>
      </c>
      <c r="N603" t="n">
        <v>0</v>
      </c>
      <c r="O603" t="n">
        <v>0</v>
      </c>
      <c r="P603" t="n">
        <v>0</v>
      </c>
      <c r="Q603" t="n">
        <v>0</v>
      </c>
      <c r="R603" s="2" t="inlineStr"/>
    </row>
    <row r="604" ht="15" customHeight="1">
      <c r="A604" t="inlineStr">
        <is>
          <t>A 40754-2023</t>
        </is>
      </c>
      <c r="B604" s="1" t="n">
        <v>45170.92561342593</v>
      </c>
      <c r="C604" s="1" t="n">
        <v>46158</v>
      </c>
      <c r="D604" t="inlineStr">
        <is>
          <t>VÄSTERBOTTENS LÄN</t>
        </is>
      </c>
      <c r="E604" t="inlineStr">
        <is>
          <t>NORSJÖ</t>
        </is>
      </c>
      <c r="G604" t="n">
        <v>1.5</v>
      </c>
      <c r="H604" t="n">
        <v>0</v>
      </c>
      <c r="I604" t="n">
        <v>0</v>
      </c>
      <c r="J604" t="n">
        <v>0</v>
      </c>
      <c r="K604" t="n">
        <v>0</v>
      </c>
      <c r="L604" t="n">
        <v>0</v>
      </c>
      <c r="M604" t="n">
        <v>0</v>
      </c>
      <c r="N604" t="n">
        <v>0</v>
      </c>
      <c r="O604" t="n">
        <v>0</v>
      </c>
      <c r="P604" t="n">
        <v>0</v>
      </c>
      <c r="Q604" t="n">
        <v>0</v>
      </c>
      <c r="R604" s="2" t="inlineStr"/>
    </row>
    <row r="605" ht="15" customHeight="1">
      <c r="A605" t="inlineStr">
        <is>
          <t>A 32216-2024</t>
        </is>
      </c>
      <c r="B605" s="1" t="n">
        <v>45511.92706018518</v>
      </c>
      <c r="C605" s="1" t="n">
        <v>46158</v>
      </c>
      <c r="D605" t="inlineStr">
        <is>
          <t>VÄSTERBOTTENS LÄN</t>
        </is>
      </c>
      <c r="E605" t="inlineStr">
        <is>
          <t>NORSJÖ</t>
        </is>
      </c>
      <c r="G605" t="n">
        <v>5.1</v>
      </c>
      <c r="H605" t="n">
        <v>0</v>
      </c>
      <c r="I605" t="n">
        <v>0</v>
      </c>
      <c r="J605" t="n">
        <v>0</v>
      </c>
      <c r="K605" t="n">
        <v>0</v>
      </c>
      <c r="L605" t="n">
        <v>0</v>
      </c>
      <c r="M605" t="n">
        <v>0</v>
      </c>
      <c r="N605" t="n">
        <v>0</v>
      </c>
      <c r="O605" t="n">
        <v>0</v>
      </c>
      <c r="P605" t="n">
        <v>0</v>
      </c>
      <c r="Q605" t="n">
        <v>0</v>
      </c>
      <c r="R605" s="2" t="inlineStr"/>
    </row>
    <row r="606" ht="15" customHeight="1">
      <c r="A606" t="inlineStr">
        <is>
          <t>A 9724-2024</t>
        </is>
      </c>
      <c r="B606" s="1" t="n">
        <v>45362</v>
      </c>
      <c r="C606" s="1" t="n">
        <v>46158</v>
      </c>
      <c r="D606" t="inlineStr">
        <is>
          <t>VÄSTERBOTTENS LÄN</t>
        </is>
      </c>
      <c r="E606" t="inlineStr">
        <is>
          <t>NORSJÖ</t>
        </is>
      </c>
      <c r="G606" t="n">
        <v>4.2</v>
      </c>
      <c r="H606" t="n">
        <v>0</v>
      </c>
      <c r="I606" t="n">
        <v>0</v>
      </c>
      <c r="J606" t="n">
        <v>0</v>
      </c>
      <c r="K606" t="n">
        <v>0</v>
      </c>
      <c r="L606" t="n">
        <v>0</v>
      </c>
      <c r="M606" t="n">
        <v>0</v>
      </c>
      <c r="N606" t="n">
        <v>0</v>
      </c>
      <c r="O606" t="n">
        <v>0</v>
      </c>
      <c r="P606" t="n">
        <v>0</v>
      </c>
      <c r="Q606" t="n">
        <v>0</v>
      </c>
      <c r="R606" s="2" t="inlineStr"/>
    </row>
    <row r="607" ht="15" customHeight="1">
      <c r="A607" t="inlineStr">
        <is>
          <t>A 22551-2025</t>
        </is>
      </c>
      <c r="B607" s="1" t="n">
        <v>45788.65594907408</v>
      </c>
      <c r="C607" s="1" t="n">
        <v>46158</v>
      </c>
      <c r="D607" t="inlineStr">
        <is>
          <t>VÄSTERBOTTENS LÄN</t>
        </is>
      </c>
      <c r="E607" t="inlineStr">
        <is>
          <t>NORSJÖ</t>
        </is>
      </c>
      <c r="G607" t="n">
        <v>2.5</v>
      </c>
      <c r="H607" t="n">
        <v>0</v>
      </c>
      <c r="I607" t="n">
        <v>0</v>
      </c>
      <c r="J607" t="n">
        <v>0</v>
      </c>
      <c r="K607" t="n">
        <v>0</v>
      </c>
      <c r="L607" t="n">
        <v>0</v>
      </c>
      <c r="M607" t="n">
        <v>0</v>
      </c>
      <c r="N607" t="n">
        <v>0</v>
      </c>
      <c r="O607" t="n">
        <v>0</v>
      </c>
      <c r="P607" t="n">
        <v>0</v>
      </c>
      <c r="Q607" t="n">
        <v>0</v>
      </c>
      <c r="R607" s="2" t="inlineStr"/>
    </row>
    <row r="608" ht="15" customHeight="1">
      <c r="A608" t="inlineStr">
        <is>
          <t>A 43848-2023</t>
        </is>
      </c>
      <c r="B608" s="1" t="n">
        <v>45182</v>
      </c>
      <c r="C608" s="1" t="n">
        <v>46158</v>
      </c>
      <c r="D608" t="inlineStr">
        <is>
          <t>VÄSTERBOTTENS LÄN</t>
        </is>
      </c>
      <c r="E608" t="inlineStr">
        <is>
          <t>NORSJÖ</t>
        </is>
      </c>
      <c r="G608" t="n">
        <v>0.7</v>
      </c>
      <c r="H608" t="n">
        <v>0</v>
      </c>
      <c r="I608" t="n">
        <v>0</v>
      </c>
      <c r="J608" t="n">
        <v>0</v>
      </c>
      <c r="K608" t="n">
        <v>0</v>
      </c>
      <c r="L608" t="n">
        <v>0</v>
      </c>
      <c r="M608" t="n">
        <v>0</v>
      </c>
      <c r="N608" t="n">
        <v>0</v>
      </c>
      <c r="O608" t="n">
        <v>0</v>
      </c>
      <c r="P608" t="n">
        <v>0</v>
      </c>
      <c r="Q608" t="n">
        <v>0</v>
      </c>
      <c r="R608" s="2" t="inlineStr"/>
    </row>
    <row r="609" ht="15" customHeight="1">
      <c r="A609" t="inlineStr">
        <is>
          <t>A 23523-2025</t>
        </is>
      </c>
      <c r="B609" s="1" t="n">
        <v>45792.51623842592</v>
      </c>
      <c r="C609" s="1" t="n">
        <v>46158</v>
      </c>
      <c r="D609" t="inlineStr">
        <is>
          <t>VÄSTERBOTTENS LÄN</t>
        </is>
      </c>
      <c r="E609" t="inlineStr">
        <is>
          <t>NORSJÖ</t>
        </is>
      </c>
      <c r="F609" t="inlineStr">
        <is>
          <t>Holmen skog AB</t>
        </is>
      </c>
      <c r="G609" t="n">
        <v>5.8</v>
      </c>
      <c r="H609" t="n">
        <v>0</v>
      </c>
      <c r="I609" t="n">
        <v>0</v>
      </c>
      <c r="J609" t="n">
        <v>0</v>
      </c>
      <c r="K609" t="n">
        <v>0</v>
      </c>
      <c r="L609" t="n">
        <v>0</v>
      </c>
      <c r="M609" t="n">
        <v>0</v>
      </c>
      <c r="N609" t="n">
        <v>0</v>
      </c>
      <c r="O609" t="n">
        <v>0</v>
      </c>
      <c r="P609" t="n">
        <v>0</v>
      </c>
      <c r="Q609" t="n">
        <v>0</v>
      </c>
      <c r="R609" s="2" t="inlineStr"/>
    </row>
    <row r="610">
      <c r="A610" t="inlineStr">
        <is>
          <t>A 43398-2023</t>
        </is>
      </c>
      <c r="B610" s="1" t="n">
        <v>45183</v>
      </c>
      <c r="C610" s="1" t="n">
        <v>46158</v>
      </c>
      <c r="D610" t="inlineStr">
        <is>
          <t>VÄSTERBOTTENS LÄN</t>
        </is>
      </c>
      <c r="E610" t="inlineStr">
        <is>
          <t>NORSJÖ</t>
        </is>
      </c>
      <c r="G610" t="n">
        <v>3.2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2026-05-16T12:17:18Z</dcterms:created>
  <dcterms:modified xmlns:dcterms="http://purl.org/dc/terms/" xmlns:xsi="http://www.w3.org/2001/XMLSchema-instance" xsi:type="dcterms:W3CDTF">2026-05-16T12:17:18Z</dcterms:modified>
</cp:coreProperties>
</file>