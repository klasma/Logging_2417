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45845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45845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45845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45845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45845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45845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45845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45845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45845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45845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45845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45845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45845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45845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45845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45845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45845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45845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45845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45845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45845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45845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45845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45845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45845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45845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45845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45845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45845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45845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45845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45845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45845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45845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52538-2024</t>
        </is>
      </c>
      <c r="B36" s="1" t="n">
        <v>45609</v>
      </c>
      <c r="C36" s="1" t="n">
        <v>45845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10.8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Motaggsvamp
Orange taggsvamp</t>
        </is>
      </c>
      <c r="S36">
        <f>HYPERLINK("https://klasma.github.io/Logging_2417/artfynd/A 52538-2024 artfynd.xlsx", "A 52538-2024")</f>
        <v/>
      </c>
      <c r="T36">
        <f>HYPERLINK("https://klasma.github.io/Logging_2417/kartor/A 52538-2024 karta.png", "A 52538-2024")</f>
        <v/>
      </c>
      <c r="V36">
        <f>HYPERLINK("https://klasma.github.io/Logging_2417/klagomål/A 52538-2024 FSC-klagomål.docx", "A 52538-2024")</f>
        <v/>
      </c>
      <c r="W36">
        <f>HYPERLINK("https://klasma.github.io/Logging_2417/klagomålsmail/A 52538-2024 FSC-klagomål mail.docx", "A 52538-2024")</f>
        <v/>
      </c>
      <c r="X36">
        <f>HYPERLINK("https://klasma.github.io/Logging_2417/tillsyn/A 52538-2024 tillsynsbegäran.docx", "A 52538-2024")</f>
        <v/>
      </c>
      <c r="Y36">
        <f>HYPERLINK("https://klasma.github.io/Logging_2417/tillsynsmail/A 52538-2024 tillsynsbegäran mail.docx", "A 52538-2024")</f>
        <v/>
      </c>
    </row>
    <row r="37" ht="15" customHeight="1">
      <c r="A37" t="inlineStr">
        <is>
          <t>A 20337-2019</t>
        </is>
      </c>
      <c r="B37" s="1" t="n">
        <v>43570</v>
      </c>
      <c r="C37" s="1" t="n">
        <v>45845</v>
      </c>
      <c r="D37" t="inlineStr">
        <is>
          <t>VÄSTERBOTTENS LÄN</t>
        </is>
      </c>
      <c r="E37" t="inlineStr">
        <is>
          <t>NORSJÖ</t>
        </is>
      </c>
      <c r="G37" t="n">
        <v>6.4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HYPERLINK("https://klasma.github.io/Logging_2417/artfynd/A 20337-2019 artfynd.xlsx", "A 20337-2019")</f>
        <v/>
      </c>
      <c r="T37">
        <f>HYPERLINK("https://klasma.github.io/Logging_2417/kartor/A 20337-2019 karta.png", "A 20337-2019")</f>
        <v/>
      </c>
      <c r="V37">
        <f>HYPERLINK("https://klasma.github.io/Logging_2417/klagomål/A 20337-2019 FSC-klagomål.docx", "A 20337-2019")</f>
        <v/>
      </c>
      <c r="W37">
        <f>HYPERLINK("https://klasma.github.io/Logging_2417/klagomålsmail/A 20337-2019 FSC-klagomål mail.docx", "A 20337-2019")</f>
        <v/>
      </c>
      <c r="X37">
        <f>HYPERLINK("https://klasma.github.io/Logging_2417/tillsyn/A 20337-2019 tillsynsbegäran.docx", "A 20337-2019")</f>
        <v/>
      </c>
      <c r="Y37">
        <f>HYPERLINK("https://klasma.github.io/Logging_2417/tillsynsmail/A 20337-2019 tillsynsbegäran mail.docx", "A 20337-2019")</f>
        <v/>
      </c>
    </row>
    <row r="38" ht="15" customHeight="1">
      <c r="A38" t="inlineStr">
        <is>
          <t>A 61542-2019</t>
        </is>
      </c>
      <c r="B38" s="1" t="n">
        <v>43784</v>
      </c>
      <c r="C38" s="1" t="n">
        <v>45845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31.1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HYPERLINK("https://klasma.github.io/Logging_2417/artfynd/A 61542-2019 artfynd.xlsx", "A 61542-2019")</f>
        <v/>
      </c>
      <c r="T38">
        <f>HYPERLINK("https://klasma.github.io/Logging_2417/kartor/A 61542-2019 karta.png", "A 61542-2019")</f>
        <v/>
      </c>
      <c r="V38">
        <f>HYPERLINK("https://klasma.github.io/Logging_2417/klagomål/A 61542-2019 FSC-klagomål.docx", "A 61542-2019")</f>
        <v/>
      </c>
      <c r="W38">
        <f>HYPERLINK("https://klasma.github.io/Logging_2417/klagomålsmail/A 61542-2019 FSC-klagomål mail.docx", "A 61542-2019")</f>
        <v/>
      </c>
      <c r="X38">
        <f>HYPERLINK("https://klasma.github.io/Logging_2417/tillsyn/A 61542-2019 tillsynsbegäran.docx", "A 61542-2019")</f>
        <v/>
      </c>
      <c r="Y38">
        <f>HYPERLINK("https://klasma.github.io/Logging_2417/tillsynsmail/A 61542-2019 tillsynsbegäran mail.docx", "A 61542-2019")</f>
        <v/>
      </c>
    </row>
    <row r="39" ht="15" customHeight="1">
      <c r="A39" t="inlineStr">
        <is>
          <t>A 5772-2020</t>
        </is>
      </c>
      <c r="B39" s="1" t="n">
        <v>43864</v>
      </c>
      <c r="C39" s="1" t="n">
        <v>45845</v>
      </c>
      <c r="D39" t="inlineStr">
        <is>
          <t>VÄSTERBOTTENS LÄN</t>
        </is>
      </c>
      <c r="E39" t="inlineStr">
        <is>
          <t>NORSJÖ</t>
        </is>
      </c>
      <c r="G39" t="n">
        <v>2.7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HYPERLINK("https://klasma.github.io/Logging_2417/artfynd/A 5772-2020 artfynd.xlsx", "A 5772-2020")</f>
        <v/>
      </c>
      <c r="T39">
        <f>HYPERLINK("https://klasma.github.io/Logging_2417/kartor/A 5772-2020 karta.png", "A 5772-2020")</f>
        <v/>
      </c>
      <c r="V39">
        <f>HYPERLINK("https://klasma.github.io/Logging_2417/klagomål/A 5772-2020 FSC-klagomål.docx", "A 5772-2020")</f>
        <v/>
      </c>
      <c r="W39">
        <f>HYPERLINK("https://klasma.github.io/Logging_2417/klagomålsmail/A 5772-2020 FSC-klagomål mail.docx", "A 5772-2020")</f>
        <v/>
      </c>
      <c r="X39">
        <f>HYPERLINK("https://klasma.github.io/Logging_2417/tillsyn/A 5772-2020 tillsynsbegäran.docx", "A 5772-2020")</f>
        <v/>
      </c>
      <c r="Y39">
        <f>HYPERLINK("https://klasma.github.io/Logging_2417/tillsynsmail/A 5772-2020 tillsynsbegäran mail.docx", "A 5772-2020")</f>
        <v/>
      </c>
      <c r="Z39">
        <f>HYPERLINK("https://klasma.github.io/Logging_2417/fåglar/A 5772-2020 prioriterade fågelarter.docx", "A 5772-2020")</f>
        <v/>
      </c>
    </row>
    <row r="40" ht="15" customHeight="1">
      <c r="A40" t="inlineStr">
        <is>
          <t>A 59120-2020</t>
        </is>
      </c>
      <c r="B40" s="1" t="n">
        <v>44147</v>
      </c>
      <c r="C40" s="1" t="n">
        <v>45845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19.6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HYPERLINK("https://klasma.github.io/Logging_2417/artfynd/A 59120-2020 artfynd.xlsx", "A 59120-2020")</f>
        <v/>
      </c>
      <c r="T40">
        <f>HYPERLINK("https://klasma.github.io/Logging_2417/kartor/A 59120-2020 karta.png", "A 59120-2020")</f>
        <v/>
      </c>
      <c r="V40">
        <f>HYPERLINK("https://klasma.github.io/Logging_2417/klagomål/A 59120-2020 FSC-klagomål.docx", "A 59120-2020")</f>
        <v/>
      </c>
      <c r="W40">
        <f>HYPERLINK("https://klasma.github.io/Logging_2417/klagomålsmail/A 59120-2020 FSC-klagomål mail.docx", "A 59120-2020")</f>
        <v/>
      </c>
      <c r="X40">
        <f>HYPERLINK("https://klasma.github.io/Logging_2417/tillsyn/A 59120-2020 tillsynsbegäran.docx", "A 59120-2020")</f>
        <v/>
      </c>
      <c r="Y40">
        <f>HYPERLINK("https://klasma.github.io/Logging_2417/tillsynsmail/A 59120-2020 tillsynsbegäran mail.docx", "A 59120-2020")</f>
        <v/>
      </c>
    </row>
    <row r="41" ht="15" customHeight="1">
      <c r="A41" t="inlineStr">
        <is>
          <t>A 62699-2020</t>
        </is>
      </c>
      <c r="B41" s="1" t="n">
        <v>44161</v>
      </c>
      <c r="C41" s="1" t="n">
        <v>45845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HYPERLINK("https://klasma.github.io/Logging_2417/artfynd/A 62699-2020 artfynd.xlsx", "A 62699-2020")</f>
        <v/>
      </c>
      <c r="T41">
        <f>HYPERLINK("https://klasma.github.io/Logging_2417/kartor/A 62699-2020 karta.png", "A 62699-2020")</f>
        <v/>
      </c>
      <c r="V41">
        <f>HYPERLINK("https://klasma.github.io/Logging_2417/klagomål/A 62699-2020 FSC-klagomål.docx", "A 62699-2020")</f>
        <v/>
      </c>
      <c r="W41">
        <f>HYPERLINK("https://klasma.github.io/Logging_2417/klagomålsmail/A 62699-2020 FSC-klagomål mail.docx", "A 62699-2020")</f>
        <v/>
      </c>
      <c r="X41">
        <f>HYPERLINK("https://klasma.github.io/Logging_2417/tillsyn/A 62699-2020 tillsynsbegäran.docx", "A 62699-2020")</f>
        <v/>
      </c>
      <c r="Y41">
        <f>HYPERLINK("https://klasma.github.io/Logging_2417/tillsynsmail/A 62699-2020 tillsynsbegäran mail.docx", "A 62699-2020")</f>
        <v/>
      </c>
    </row>
    <row r="42" ht="15" customHeight="1">
      <c r="A42" t="inlineStr">
        <is>
          <t>A 51640-2021</t>
        </is>
      </c>
      <c r="B42" s="1" t="n">
        <v>44462</v>
      </c>
      <c r="C42" s="1" t="n">
        <v>45845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HYPERLINK("https://klasma.github.io/Logging_2417/artfynd/A 51640-2021 artfynd.xlsx", "A 51640-2021")</f>
        <v/>
      </c>
      <c r="T42">
        <f>HYPERLINK("https://klasma.github.io/Logging_2417/kartor/A 51640-2021 karta.png", "A 51640-2021")</f>
        <v/>
      </c>
      <c r="V42">
        <f>HYPERLINK("https://klasma.github.io/Logging_2417/klagomål/A 51640-2021 FSC-klagomål.docx", "A 51640-2021")</f>
        <v/>
      </c>
      <c r="W42">
        <f>HYPERLINK("https://klasma.github.io/Logging_2417/klagomålsmail/A 51640-2021 FSC-klagomål mail.docx", "A 51640-2021")</f>
        <v/>
      </c>
      <c r="X42">
        <f>HYPERLINK("https://klasma.github.io/Logging_2417/tillsyn/A 51640-2021 tillsynsbegäran.docx", "A 51640-2021")</f>
        <v/>
      </c>
      <c r="Y42">
        <f>HYPERLINK("https://klasma.github.io/Logging_2417/tillsynsmail/A 51640-2021 tillsynsbegäran mail.docx", "A 51640-2021")</f>
        <v/>
      </c>
    </row>
    <row r="43" ht="15" customHeight="1">
      <c r="A43" t="inlineStr">
        <is>
          <t>A 50521-2023</t>
        </is>
      </c>
      <c r="B43" s="1" t="n">
        <v>45217</v>
      </c>
      <c r="C43" s="1" t="n">
        <v>45845</v>
      </c>
      <c r="D43" t="inlineStr">
        <is>
          <t>VÄSTERBOTTENS LÄN</t>
        </is>
      </c>
      <c r="E43" t="inlineStr">
        <is>
          <t>NORSJÖ</t>
        </is>
      </c>
      <c r="F43" t="inlineStr">
        <is>
          <t>SCA</t>
        </is>
      </c>
      <c r="G43" t="n">
        <v>11.9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50521-2023 artfynd.xlsx", "A 50521-2023")</f>
        <v/>
      </c>
      <c r="T43">
        <f>HYPERLINK("https://klasma.github.io/Logging_2417/kartor/A 50521-2023 karta.png", "A 50521-2023")</f>
        <v/>
      </c>
      <c r="V43">
        <f>HYPERLINK("https://klasma.github.io/Logging_2417/klagomål/A 50521-2023 FSC-klagomål.docx", "A 50521-2023")</f>
        <v/>
      </c>
      <c r="W43">
        <f>HYPERLINK("https://klasma.github.io/Logging_2417/klagomålsmail/A 50521-2023 FSC-klagomål mail.docx", "A 50521-2023")</f>
        <v/>
      </c>
      <c r="X43">
        <f>HYPERLINK("https://klasma.github.io/Logging_2417/tillsyn/A 50521-2023 tillsynsbegäran.docx", "A 50521-2023")</f>
        <v/>
      </c>
      <c r="Y43">
        <f>HYPERLINK("https://klasma.github.io/Logging_2417/tillsynsmail/A 50521-2023 tillsynsbegäran mail.docx", "A 50521-2023")</f>
        <v/>
      </c>
    </row>
    <row r="44" ht="15" customHeight="1">
      <c r="A44" t="inlineStr">
        <is>
          <t>A 62598-2023</t>
        </is>
      </c>
      <c r="B44" s="1" t="n">
        <v>45271</v>
      </c>
      <c r="C44" s="1" t="n">
        <v>45845</v>
      </c>
      <c r="D44" t="inlineStr">
        <is>
          <t>VÄSTERBOTTENS LÄN</t>
        </is>
      </c>
      <c r="E44" t="inlineStr">
        <is>
          <t>NORSJÖ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Sångsvan</t>
        </is>
      </c>
      <c r="S44">
        <f>HYPERLINK("https://klasma.github.io/Logging_2417/artfynd/A 62598-2023 artfynd.xlsx", "A 62598-2023")</f>
        <v/>
      </c>
      <c r="T44">
        <f>HYPERLINK("https://klasma.github.io/Logging_2417/kartor/A 62598-2023 karta.png", "A 62598-2023")</f>
        <v/>
      </c>
      <c r="V44">
        <f>HYPERLINK("https://klasma.github.io/Logging_2417/klagomål/A 62598-2023 FSC-klagomål.docx", "A 62598-2023")</f>
        <v/>
      </c>
      <c r="W44">
        <f>HYPERLINK("https://klasma.github.io/Logging_2417/klagomålsmail/A 62598-2023 FSC-klagomål mail.docx", "A 62598-2023")</f>
        <v/>
      </c>
      <c r="X44">
        <f>HYPERLINK("https://klasma.github.io/Logging_2417/tillsyn/A 62598-2023 tillsynsbegäran.docx", "A 62598-2023")</f>
        <v/>
      </c>
      <c r="Y44">
        <f>HYPERLINK("https://klasma.github.io/Logging_2417/tillsynsmail/A 62598-2023 tillsynsbegäran mail.docx", "A 62598-2023")</f>
        <v/>
      </c>
      <c r="Z44">
        <f>HYPERLINK("https://klasma.github.io/Logging_2417/fåglar/A 62598-2023 prioriterade fågelarter.docx", "A 62598-2023")</f>
        <v/>
      </c>
    </row>
    <row r="45" ht="15" customHeight="1">
      <c r="A45" t="inlineStr">
        <is>
          <t>A 8159-2024</t>
        </is>
      </c>
      <c r="B45" s="1" t="n">
        <v>45351</v>
      </c>
      <c r="C45" s="1" t="n">
        <v>45845</v>
      </c>
      <c r="D45" t="inlineStr">
        <is>
          <t>VÄSTERBOTTENS LÄN</t>
        </is>
      </c>
      <c r="E45" t="inlineStr">
        <is>
          <t>NORSJÖ</t>
        </is>
      </c>
      <c r="G45" t="n">
        <v>20.4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HYPERLINK("https://klasma.github.io/Logging_2417/artfynd/A 8159-2024 artfynd.xlsx", "A 8159-2024")</f>
        <v/>
      </c>
      <c r="T45">
        <f>HYPERLINK("https://klasma.github.io/Logging_2417/kartor/A 8159-2024 karta.png", "A 8159-2024")</f>
        <v/>
      </c>
      <c r="V45">
        <f>HYPERLINK("https://klasma.github.io/Logging_2417/klagomål/A 8159-2024 FSC-klagomål.docx", "A 8159-2024")</f>
        <v/>
      </c>
      <c r="W45">
        <f>HYPERLINK("https://klasma.github.io/Logging_2417/klagomålsmail/A 8159-2024 FSC-klagomål mail.docx", "A 8159-2024")</f>
        <v/>
      </c>
      <c r="X45">
        <f>HYPERLINK("https://klasma.github.io/Logging_2417/tillsyn/A 8159-2024 tillsynsbegäran.docx", "A 8159-2024")</f>
        <v/>
      </c>
      <c r="Y45">
        <f>HYPERLINK("https://klasma.github.io/Logging_2417/tillsynsmail/A 8159-2024 tillsynsbegäran mail.docx", "A 8159-2024")</f>
        <v/>
      </c>
    </row>
    <row r="46" ht="15" customHeight="1">
      <c r="A46" t="inlineStr">
        <is>
          <t>A 23295-2024</t>
        </is>
      </c>
      <c r="B46" s="1" t="n">
        <v>45453</v>
      </c>
      <c r="C46" s="1" t="n">
        <v>45845</v>
      </c>
      <c r="D46" t="inlineStr">
        <is>
          <t>VÄSTERBOTTENS LÄN</t>
        </is>
      </c>
      <c r="E46" t="inlineStr">
        <is>
          <t>NORSJÖ</t>
        </is>
      </c>
      <c r="G46" t="n">
        <v>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HYPERLINK("https://klasma.github.io/Logging_2417/artfynd/A 23295-2024 artfynd.xlsx", "A 23295-2024")</f>
        <v/>
      </c>
      <c r="T46">
        <f>HYPERLINK("https://klasma.github.io/Logging_2417/kartor/A 23295-2024 karta.png", "A 23295-2024")</f>
        <v/>
      </c>
      <c r="V46">
        <f>HYPERLINK("https://klasma.github.io/Logging_2417/klagomål/A 23295-2024 FSC-klagomål.docx", "A 23295-2024")</f>
        <v/>
      </c>
      <c r="W46">
        <f>HYPERLINK("https://klasma.github.io/Logging_2417/klagomålsmail/A 23295-2024 FSC-klagomål mail.docx", "A 23295-2024")</f>
        <v/>
      </c>
      <c r="X46">
        <f>HYPERLINK("https://klasma.github.io/Logging_2417/tillsyn/A 23295-2024 tillsynsbegäran.docx", "A 23295-2024")</f>
        <v/>
      </c>
      <c r="Y46">
        <f>HYPERLINK("https://klasma.github.io/Logging_2417/tillsynsmail/A 23295-2024 tillsynsbegäran mail.docx", "A 23295-2024")</f>
        <v/>
      </c>
      <c r="Z46">
        <f>HYPERLINK("https://klasma.github.io/Logging_2417/fåglar/A 23295-2024 prioriterade fågelarter.docx", "A 23295-2024")</f>
        <v/>
      </c>
    </row>
    <row r="47" ht="15" customHeight="1">
      <c r="A47" t="inlineStr">
        <is>
          <t>A 24856-2024</t>
        </is>
      </c>
      <c r="B47" s="1" t="n">
        <v>45461</v>
      </c>
      <c r="C47" s="1" t="n">
        <v>45845</v>
      </c>
      <c r="D47" t="inlineStr">
        <is>
          <t>VÄSTERBOTTENS LÄN</t>
        </is>
      </c>
      <c r="E47" t="inlineStr">
        <is>
          <t>NORSJÖ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HYPERLINK("https://klasma.github.io/Logging_2417/artfynd/A 24856-2024 artfynd.xlsx", "A 24856-2024")</f>
        <v/>
      </c>
      <c r="T47">
        <f>HYPERLINK("https://klasma.github.io/Logging_2417/kartor/A 24856-2024 karta.png", "A 24856-2024")</f>
        <v/>
      </c>
      <c r="V47">
        <f>HYPERLINK("https://klasma.github.io/Logging_2417/klagomål/A 24856-2024 FSC-klagomål.docx", "A 24856-2024")</f>
        <v/>
      </c>
      <c r="W47">
        <f>HYPERLINK("https://klasma.github.io/Logging_2417/klagomålsmail/A 24856-2024 FSC-klagomål mail.docx", "A 24856-2024")</f>
        <v/>
      </c>
      <c r="X47">
        <f>HYPERLINK("https://klasma.github.io/Logging_2417/tillsyn/A 24856-2024 tillsynsbegäran.docx", "A 24856-2024")</f>
        <v/>
      </c>
      <c r="Y47">
        <f>HYPERLINK("https://klasma.github.io/Logging_2417/tillsynsmail/A 24856-2024 tillsynsbegäran mail.docx", "A 24856-2024")</f>
        <v/>
      </c>
    </row>
    <row r="48" ht="15" customHeight="1">
      <c r="A48" t="inlineStr">
        <is>
          <t>A 26977-2024</t>
        </is>
      </c>
      <c r="B48" s="1" t="n">
        <v>45471</v>
      </c>
      <c r="C48" s="1" t="n">
        <v>45845</v>
      </c>
      <c r="D48" t="inlineStr">
        <is>
          <t>VÄSTERBOTTENS LÄN</t>
        </is>
      </c>
      <c r="E48" t="inlineStr">
        <is>
          <t>NORSJÖ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Bårdlav</t>
        </is>
      </c>
      <c r="S48">
        <f>HYPERLINK("https://klasma.github.io/Logging_2417/artfynd/A 26977-2024 artfynd.xlsx", "A 26977-2024")</f>
        <v/>
      </c>
      <c r="T48">
        <f>HYPERLINK("https://klasma.github.io/Logging_2417/kartor/A 26977-2024 karta.png", "A 26977-2024")</f>
        <v/>
      </c>
      <c r="V48">
        <f>HYPERLINK("https://klasma.github.io/Logging_2417/klagomål/A 26977-2024 FSC-klagomål.docx", "A 26977-2024")</f>
        <v/>
      </c>
      <c r="W48">
        <f>HYPERLINK("https://klasma.github.io/Logging_2417/klagomålsmail/A 26977-2024 FSC-klagomål mail.docx", "A 26977-2024")</f>
        <v/>
      </c>
      <c r="X48">
        <f>HYPERLINK("https://klasma.github.io/Logging_2417/tillsyn/A 26977-2024 tillsynsbegäran.docx", "A 26977-2024")</f>
        <v/>
      </c>
      <c r="Y48">
        <f>HYPERLINK("https://klasma.github.io/Logging_2417/tillsynsmail/A 26977-2024 tillsynsbegäran mail.docx", "A 26977-2024")</f>
        <v/>
      </c>
    </row>
    <row r="49" ht="15" customHeight="1">
      <c r="A49" t="inlineStr">
        <is>
          <t>A 33763-2024</t>
        </is>
      </c>
      <c r="B49" s="1" t="n">
        <v>45520</v>
      </c>
      <c r="C49" s="1" t="n">
        <v>45845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10.5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HYPERLINK("https://klasma.github.io/Logging_2417/artfynd/A 33763-2024 artfynd.xlsx", "A 33763-2024")</f>
        <v/>
      </c>
      <c r="T49">
        <f>HYPERLINK("https://klasma.github.io/Logging_2417/kartor/A 33763-2024 karta.png", "A 33763-2024")</f>
        <v/>
      </c>
      <c r="V49">
        <f>HYPERLINK("https://klasma.github.io/Logging_2417/klagomål/A 33763-2024 FSC-klagomål.docx", "A 33763-2024")</f>
        <v/>
      </c>
      <c r="W49">
        <f>HYPERLINK("https://klasma.github.io/Logging_2417/klagomålsmail/A 33763-2024 FSC-klagomål mail.docx", "A 33763-2024")</f>
        <v/>
      </c>
      <c r="X49">
        <f>HYPERLINK("https://klasma.github.io/Logging_2417/tillsyn/A 33763-2024 tillsynsbegäran.docx", "A 33763-2024")</f>
        <v/>
      </c>
      <c r="Y49">
        <f>HYPERLINK("https://klasma.github.io/Logging_2417/tillsynsmail/A 33763-2024 tillsynsbegäran mail.docx", "A 33763-2024")</f>
        <v/>
      </c>
    </row>
    <row r="50" ht="15" customHeight="1">
      <c r="A50" t="inlineStr">
        <is>
          <t>A 45438-2024</t>
        </is>
      </c>
      <c r="B50" s="1" t="n">
        <v>45576</v>
      </c>
      <c r="C50" s="1" t="n">
        <v>45845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HYPERLINK("https://klasma.github.io/Logging_2417/artfynd/A 45438-2024 artfynd.xlsx", "A 45438-2024")</f>
        <v/>
      </c>
      <c r="T50">
        <f>HYPERLINK("https://klasma.github.io/Logging_2417/kartor/A 45438-2024 karta.png", "A 45438-2024")</f>
        <v/>
      </c>
      <c r="V50">
        <f>HYPERLINK("https://klasma.github.io/Logging_2417/klagomål/A 45438-2024 FSC-klagomål.docx", "A 45438-2024")</f>
        <v/>
      </c>
      <c r="W50">
        <f>HYPERLINK("https://klasma.github.io/Logging_2417/klagomålsmail/A 45438-2024 FSC-klagomål mail.docx", "A 45438-2024")</f>
        <v/>
      </c>
      <c r="X50">
        <f>HYPERLINK("https://klasma.github.io/Logging_2417/tillsyn/A 45438-2024 tillsynsbegäran.docx", "A 45438-2024")</f>
        <v/>
      </c>
      <c r="Y50">
        <f>HYPERLINK("https://klasma.github.io/Logging_2417/tillsynsmail/A 45438-2024 tillsynsbegäran mail.docx", "A 45438-2024")</f>
        <v/>
      </c>
    </row>
    <row r="51" ht="15" customHeight="1">
      <c r="A51" t="inlineStr">
        <is>
          <t>A 46666-2024</t>
        </is>
      </c>
      <c r="B51" s="1" t="n">
        <v>45583</v>
      </c>
      <c r="C51" s="1" t="n">
        <v>45845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6.7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HYPERLINK("https://klasma.github.io/Logging_2417/artfynd/A 46666-2024 artfynd.xlsx", "A 46666-2024")</f>
        <v/>
      </c>
      <c r="T51">
        <f>HYPERLINK("https://klasma.github.io/Logging_2417/kartor/A 46666-2024 karta.png", "A 46666-2024")</f>
        <v/>
      </c>
      <c r="V51">
        <f>HYPERLINK("https://klasma.github.io/Logging_2417/klagomål/A 46666-2024 FSC-klagomål.docx", "A 46666-2024")</f>
        <v/>
      </c>
      <c r="W51">
        <f>HYPERLINK("https://klasma.github.io/Logging_2417/klagomålsmail/A 46666-2024 FSC-klagomål mail.docx", "A 46666-2024")</f>
        <v/>
      </c>
      <c r="X51">
        <f>HYPERLINK("https://klasma.github.io/Logging_2417/tillsyn/A 46666-2024 tillsynsbegäran.docx", "A 46666-2024")</f>
        <v/>
      </c>
      <c r="Y51">
        <f>HYPERLINK("https://klasma.github.io/Logging_2417/tillsynsmail/A 46666-2024 tillsynsbegäran mail.docx", "A 46666-2024")</f>
        <v/>
      </c>
    </row>
    <row r="52" ht="15" customHeight="1">
      <c r="A52" t="inlineStr">
        <is>
          <t>A 55328-2024</t>
        </is>
      </c>
      <c r="B52" s="1" t="n">
        <v>45621</v>
      </c>
      <c r="C52" s="1" t="n">
        <v>45845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HYPERLINK("https://klasma.github.io/Logging_2417/artfynd/A 55328-2024 artfynd.xlsx", "A 55328-2024")</f>
        <v/>
      </c>
      <c r="T52">
        <f>HYPERLINK("https://klasma.github.io/Logging_2417/kartor/A 55328-2024 karta.png", "A 55328-2024")</f>
        <v/>
      </c>
      <c r="V52">
        <f>HYPERLINK("https://klasma.github.io/Logging_2417/klagomål/A 55328-2024 FSC-klagomål.docx", "A 55328-2024")</f>
        <v/>
      </c>
      <c r="W52">
        <f>HYPERLINK("https://klasma.github.io/Logging_2417/klagomålsmail/A 55328-2024 FSC-klagomål mail.docx", "A 55328-2024")</f>
        <v/>
      </c>
      <c r="X52">
        <f>HYPERLINK("https://klasma.github.io/Logging_2417/tillsyn/A 55328-2024 tillsynsbegäran.docx", "A 55328-2024")</f>
        <v/>
      </c>
      <c r="Y52">
        <f>HYPERLINK("https://klasma.github.io/Logging_2417/tillsynsmail/A 55328-2024 tillsynsbegäran mail.docx", "A 55328-2024")</f>
        <v/>
      </c>
    </row>
    <row r="53" ht="15" customHeight="1">
      <c r="A53" t="inlineStr">
        <is>
          <t>A 55389-2024</t>
        </is>
      </c>
      <c r="B53" s="1" t="n">
        <v>45622</v>
      </c>
      <c r="C53" s="1" t="n">
        <v>45845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14.6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HYPERLINK("https://klasma.github.io/Logging_2417/artfynd/A 55389-2024 artfynd.xlsx", "A 55389-2024")</f>
        <v/>
      </c>
      <c r="T53">
        <f>HYPERLINK("https://klasma.github.io/Logging_2417/kartor/A 55389-2024 karta.png", "A 55389-2024")</f>
        <v/>
      </c>
      <c r="V53">
        <f>HYPERLINK("https://klasma.github.io/Logging_2417/klagomål/A 55389-2024 FSC-klagomål.docx", "A 55389-2024")</f>
        <v/>
      </c>
      <c r="W53">
        <f>HYPERLINK("https://klasma.github.io/Logging_2417/klagomålsmail/A 55389-2024 FSC-klagomål mail.docx", "A 55389-2024")</f>
        <v/>
      </c>
      <c r="X53">
        <f>HYPERLINK("https://klasma.github.io/Logging_2417/tillsyn/A 55389-2024 tillsynsbegäran.docx", "A 55389-2024")</f>
        <v/>
      </c>
      <c r="Y53">
        <f>HYPERLINK("https://klasma.github.io/Logging_2417/tillsynsmail/A 55389-2024 tillsynsbegäran mail.docx", "A 55389-2024")</f>
        <v/>
      </c>
    </row>
    <row r="54" ht="15" customHeight="1">
      <c r="A54" t="inlineStr">
        <is>
          <t>A 59767-2024</t>
        </is>
      </c>
      <c r="B54" s="1" t="n">
        <v>45639</v>
      </c>
      <c r="C54" s="1" t="n">
        <v>45845</v>
      </c>
      <c r="D54" t="inlineStr">
        <is>
          <t>VÄSTERBOTTENS LÄN</t>
        </is>
      </c>
      <c r="E54" t="inlineStr">
        <is>
          <t>NORSJÖ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HYPERLINK("https://klasma.github.io/Logging_2417/artfynd/A 59767-2024 artfynd.xlsx", "A 59767-2024")</f>
        <v/>
      </c>
      <c r="T54">
        <f>HYPERLINK("https://klasma.github.io/Logging_2417/kartor/A 59767-2024 karta.png", "A 59767-2024")</f>
        <v/>
      </c>
      <c r="V54">
        <f>HYPERLINK("https://klasma.github.io/Logging_2417/klagomål/A 59767-2024 FSC-klagomål.docx", "A 59767-2024")</f>
        <v/>
      </c>
      <c r="W54">
        <f>HYPERLINK("https://klasma.github.io/Logging_2417/klagomålsmail/A 59767-2024 FSC-klagomål mail.docx", "A 59767-2024")</f>
        <v/>
      </c>
      <c r="X54">
        <f>HYPERLINK("https://klasma.github.io/Logging_2417/tillsyn/A 59767-2024 tillsynsbegäran.docx", "A 59767-2024")</f>
        <v/>
      </c>
      <c r="Y54">
        <f>HYPERLINK("https://klasma.github.io/Logging_2417/tillsynsmail/A 59767-2024 tillsynsbegäran mail.docx", "A 59767-2024")</f>
        <v/>
      </c>
    </row>
    <row r="55" ht="15" customHeight="1">
      <c r="A55" t="inlineStr">
        <is>
          <t>A 31162-2025</t>
        </is>
      </c>
      <c r="B55" s="1" t="n">
        <v>45832</v>
      </c>
      <c r="C55" s="1" t="n">
        <v>45845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HYPERLINK("https://klasma.github.io/Logging_242417/artfynd/A 31162-2025 artfynd.xlsx", "A 31162-2025")</f>
        <v/>
      </c>
      <c r="T55">
        <f>HYPERLINK("https://klasma.github.io/Logging_242417/kartor/A 31162-2025 karta.png", "A 31162-2025")</f>
        <v/>
      </c>
      <c r="V55">
        <f>HYPERLINK("https://klasma.github.io/Logging_242417/klagomål/A 31162-2025 FSC-klagomål.docx", "A 31162-2025")</f>
        <v/>
      </c>
      <c r="W55">
        <f>HYPERLINK("https://klasma.github.io/Logging_242417/klagomålsmail/A 31162-2025 FSC-klagomål mail.docx", "A 31162-2025")</f>
        <v/>
      </c>
      <c r="X55">
        <f>HYPERLINK("https://klasma.github.io/Logging_242417/tillsyn/A 31162-2025 tillsynsbegäran.docx", "A 31162-2025")</f>
        <v/>
      </c>
      <c r="Y55">
        <f>HYPERLINK("https://klasma.github.io/Logging_242417/tillsynsmail/A 31162-2025 tillsynsbegäran mail.docx", "A 31162-2025")</f>
        <v/>
      </c>
    </row>
    <row r="56" ht="15" customHeight="1">
      <c r="A56" t="inlineStr">
        <is>
          <t>A 33030-2025</t>
        </is>
      </c>
      <c r="B56" s="1" t="n">
        <v>45840</v>
      </c>
      <c r="C56" s="1" t="n">
        <v>45845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24.2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HYPERLINK("https://klasma.github.io/Logging_242417/artfynd/A 33030-2025 artfynd.xlsx", "A 33030-2025")</f>
        <v/>
      </c>
      <c r="T56">
        <f>HYPERLINK("https://klasma.github.io/Logging_242417/kartor/A 33030-2025 karta.png", "A 33030-2025")</f>
        <v/>
      </c>
      <c r="V56">
        <f>HYPERLINK("https://klasma.github.io/Logging_242417/klagomål/A 33030-2025 FSC-klagomål.docx", "A 33030-2025")</f>
        <v/>
      </c>
      <c r="W56">
        <f>HYPERLINK("https://klasma.github.io/Logging_242417/klagomålsmail/A 33030-2025 FSC-klagomål mail.docx", "A 33030-2025")</f>
        <v/>
      </c>
      <c r="X56">
        <f>HYPERLINK("https://klasma.github.io/Logging_242417/tillsyn/A 33030-2025 tillsynsbegäran.docx", "A 33030-2025")</f>
        <v/>
      </c>
      <c r="Y56">
        <f>HYPERLINK("https://klasma.github.io/Logging_242417/tillsynsmail/A 33030-2025 tillsynsbegäran mail.docx", "A 33030-2025")</f>
        <v/>
      </c>
    </row>
    <row r="57" ht="15" customHeight="1">
      <c r="A57" t="inlineStr">
        <is>
          <t>A 18821-2019</t>
        </is>
      </c>
      <c r="B57" s="1" t="n">
        <v>43560</v>
      </c>
      <c r="C57" s="1" t="n">
        <v>45845</v>
      </c>
      <c r="D57" t="inlineStr">
        <is>
          <t>VÄSTERBOTTENS LÄN</t>
        </is>
      </c>
      <c r="E57" t="inlineStr">
        <is>
          <t>NORSJÖ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19007-2019</t>
        </is>
      </c>
      <c r="B58" s="1" t="n">
        <v>43563</v>
      </c>
      <c r="C58" s="1" t="n">
        <v>45845</v>
      </c>
      <c r="D58" t="inlineStr">
        <is>
          <t>VÄSTERBOTTENS LÄN</t>
        </is>
      </c>
      <c r="E58" t="inlineStr">
        <is>
          <t>NORSJÖ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20336-2019</t>
        </is>
      </c>
      <c r="B59" s="1" t="n">
        <v>43570</v>
      </c>
      <c r="C59" s="1" t="n">
        <v>45845</v>
      </c>
      <c r="D59" t="inlineStr">
        <is>
          <t>VÄSTERBOTTENS LÄN</t>
        </is>
      </c>
      <c r="E59" t="inlineStr">
        <is>
          <t>NORSJÖ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20431-2019</t>
        </is>
      </c>
      <c r="B60" s="1" t="n">
        <v>43571</v>
      </c>
      <c r="C60" s="1" t="n">
        <v>45845</v>
      </c>
      <c r="D60" t="inlineStr">
        <is>
          <t>VÄSTERBOTTENS LÄN</t>
        </is>
      </c>
      <c r="E60" t="inlineStr">
        <is>
          <t>NORSJÖ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21352-2019</t>
        </is>
      </c>
      <c r="B61" s="1" t="n">
        <v>43579</v>
      </c>
      <c r="C61" s="1" t="n">
        <v>45845</v>
      </c>
      <c r="D61" t="inlineStr">
        <is>
          <t>VÄSTERBOTTENS LÄN</t>
        </is>
      </c>
      <c r="E61" t="inlineStr">
        <is>
          <t>NORSJÖ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21832-2019</t>
        </is>
      </c>
      <c r="B62" s="1" t="n">
        <v>43581</v>
      </c>
      <c r="C62" s="1" t="n">
        <v>45845</v>
      </c>
      <c r="D62" t="inlineStr">
        <is>
          <t>VÄSTERBOTTENS LÄN</t>
        </is>
      </c>
      <c r="E62" t="inlineStr">
        <is>
          <t>NORSJÖ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26104-2019</t>
        </is>
      </c>
      <c r="B63" s="1" t="n">
        <v>43605</v>
      </c>
      <c r="C63" s="1" t="n">
        <v>45845</v>
      </c>
      <c r="D63" t="inlineStr">
        <is>
          <t>VÄSTERBOTTENS LÄN</t>
        </is>
      </c>
      <c r="E63" t="inlineStr">
        <is>
          <t>NORSJÖ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26523-2019</t>
        </is>
      </c>
      <c r="B64" s="1" t="n">
        <v>43612</v>
      </c>
      <c r="C64" s="1" t="n">
        <v>45845</v>
      </c>
      <c r="D64" t="inlineStr">
        <is>
          <t>VÄSTERBOTTENS LÄN</t>
        </is>
      </c>
      <c r="E64" t="inlineStr">
        <is>
          <t>NORSJÖ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26513-2019</t>
        </is>
      </c>
      <c r="B65" s="1" t="n">
        <v>43612</v>
      </c>
      <c r="C65" s="1" t="n">
        <v>45845</v>
      </c>
      <c r="D65" t="inlineStr">
        <is>
          <t>VÄSTERBOTTENS LÄN</t>
        </is>
      </c>
      <c r="E65" t="inlineStr">
        <is>
          <t>NORSJÖ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28300-2019</t>
        </is>
      </c>
      <c r="B66" s="1" t="n">
        <v>43623</v>
      </c>
      <c r="C66" s="1" t="n">
        <v>45845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28571-2019</t>
        </is>
      </c>
      <c r="B67" s="1" t="n">
        <v>43626</v>
      </c>
      <c r="C67" s="1" t="n">
        <v>45845</v>
      </c>
      <c r="D67" t="inlineStr">
        <is>
          <t>VÄSTERBOTTENS LÄN</t>
        </is>
      </c>
      <c r="E67" t="inlineStr">
        <is>
          <t>NORSJÖ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28573-2019</t>
        </is>
      </c>
      <c r="B68" s="1" t="n">
        <v>43626</v>
      </c>
      <c r="C68" s="1" t="n">
        <v>45845</v>
      </c>
      <c r="D68" t="inlineStr">
        <is>
          <t>VÄSTERBOTTENS LÄN</t>
        </is>
      </c>
      <c r="E68" t="inlineStr">
        <is>
          <t>NORSJÖ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32433-2019</t>
        </is>
      </c>
      <c r="B69" s="1" t="n">
        <v>43644</v>
      </c>
      <c r="C69" s="1" t="n">
        <v>45845</v>
      </c>
      <c r="D69" t="inlineStr">
        <is>
          <t>VÄSTERBOTTENS LÄN</t>
        </is>
      </c>
      <c r="E69" t="inlineStr">
        <is>
          <t>NORSJÖ</t>
        </is>
      </c>
      <c r="F69" t="inlineStr">
        <is>
          <t>Holmen skog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33372-2019</t>
        </is>
      </c>
      <c r="B70" s="1" t="n">
        <v>43644</v>
      </c>
      <c r="C70" s="1" t="n">
        <v>45845</v>
      </c>
      <c r="D70" t="inlineStr">
        <is>
          <t>VÄSTERBOTTENS LÄN</t>
        </is>
      </c>
      <c r="E70" t="inlineStr">
        <is>
          <t>NORSJÖ</t>
        </is>
      </c>
      <c r="G70" t="n">
        <v>16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34724-2019</t>
        </is>
      </c>
      <c r="B71" s="1" t="n">
        <v>43648</v>
      </c>
      <c r="C71" s="1" t="n">
        <v>45845</v>
      </c>
      <c r="D71" t="inlineStr">
        <is>
          <t>VÄSTERBOTTENS LÄN</t>
        </is>
      </c>
      <c r="E71" t="inlineStr">
        <is>
          <t>NORSJÖ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32977-2019</t>
        </is>
      </c>
      <c r="B72" s="1" t="n">
        <v>43648</v>
      </c>
      <c r="C72" s="1" t="n">
        <v>45845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33009-2019</t>
        </is>
      </c>
      <c r="B73" s="1" t="n">
        <v>43649</v>
      </c>
      <c r="C73" s="1" t="n">
        <v>45845</v>
      </c>
      <c r="D73" t="inlineStr">
        <is>
          <t>VÄSTERBOTTENS LÄN</t>
        </is>
      </c>
      <c r="E73" t="inlineStr">
        <is>
          <t>NORSJÖ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33484-2019</t>
        </is>
      </c>
      <c r="B74" s="1" t="n">
        <v>43650</v>
      </c>
      <c r="C74" s="1" t="n">
        <v>45845</v>
      </c>
      <c r="D74" t="inlineStr">
        <is>
          <t>VÄSTERBOTTENS LÄN</t>
        </is>
      </c>
      <c r="E74" t="inlineStr">
        <is>
          <t>NORSJÖ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33483-2019</t>
        </is>
      </c>
      <c r="B75" s="1" t="n">
        <v>43651</v>
      </c>
      <c r="C75" s="1" t="n">
        <v>45845</v>
      </c>
      <c r="D75" t="inlineStr">
        <is>
          <t>VÄSTERBOTTENS LÄN</t>
        </is>
      </c>
      <c r="E75" t="inlineStr">
        <is>
          <t>NORSJÖ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39100-2019</t>
        </is>
      </c>
      <c r="B76" s="1" t="n">
        <v>43689</v>
      </c>
      <c r="C76" s="1" t="n">
        <v>45845</v>
      </c>
      <c r="D76" t="inlineStr">
        <is>
          <t>VÄSTERBOTTENS LÄN</t>
        </is>
      </c>
      <c r="E76" t="inlineStr">
        <is>
          <t>NORSJÖ</t>
        </is>
      </c>
      <c r="F76" t="inlineStr">
        <is>
          <t>Sveaskog</t>
        </is>
      </c>
      <c r="G76" t="n">
        <v>11.7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39889-2019</t>
        </is>
      </c>
      <c r="B77" s="1" t="n">
        <v>43689</v>
      </c>
      <c r="C77" s="1" t="n">
        <v>45845</v>
      </c>
      <c r="D77" t="inlineStr">
        <is>
          <t>VÄSTERBOTTENS LÄN</t>
        </is>
      </c>
      <c r="E77" t="inlineStr">
        <is>
          <t>NORSJÖ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40612-2019</t>
        </is>
      </c>
      <c r="B78" s="1" t="n">
        <v>43696</v>
      </c>
      <c r="C78" s="1" t="n">
        <v>45845</v>
      </c>
      <c r="D78" t="inlineStr">
        <is>
          <t>VÄSTERBOTTENS LÄN</t>
        </is>
      </c>
      <c r="E78" t="inlineStr">
        <is>
          <t>NORSJÖ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40609-2019</t>
        </is>
      </c>
      <c r="B79" s="1" t="n">
        <v>43696</v>
      </c>
      <c r="C79" s="1" t="n">
        <v>45845</v>
      </c>
      <c r="D79" t="inlineStr">
        <is>
          <t>VÄSTERBOTTENS LÄN</t>
        </is>
      </c>
      <c r="E79" t="inlineStr">
        <is>
          <t>NORSJÖ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43469-2019</t>
        </is>
      </c>
      <c r="B80" s="1" t="n">
        <v>43703</v>
      </c>
      <c r="C80" s="1" t="n">
        <v>45845</v>
      </c>
      <c r="D80" t="inlineStr">
        <is>
          <t>VÄSTERBOTTENS LÄN</t>
        </is>
      </c>
      <c r="E80" t="inlineStr">
        <is>
          <t>NORSJÖ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50782-2019</t>
        </is>
      </c>
      <c r="B81" s="1" t="n">
        <v>43738</v>
      </c>
      <c r="C81" s="1" t="n">
        <v>45845</v>
      </c>
      <c r="D81" t="inlineStr">
        <is>
          <t>VÄSTERBOTTENS LÄN</t>
        </is>
      </c>
      <c r="E81" t="inlineStr">
        <is>
          <t>NORSJÖ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52767-2019</t>
        </is>
      </c>
      <c r="B82" s="1" t="n">
        <v>43739</v>
      </c>
      <c r="C82" s="1" t="n">
        <v>45845</v>
      </c>
      <c r="D82" t="inlineStr">
        <is>
          <t>VÄSTERBOTTENS LÄN</t>
        </is>
      </c>
      <c r="E82" t="inlineStr">
        <is>
          <t>NORSJÖ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53061-2019</t>
        </is>
      </c>
      <c r="B83" s="1" t="n">
        <v>43739</v>
      </c>
      <c r="C83" s="1" t="n">
        <v>45845</v>
      </c>
      <c r="D83" t="inlineStr">
        <is>
          <t>VÄSTERBOTTENS LÄN</t>
        </is>
      </c>
      <c r="E83" t="inlineStr">
        <is>
          <t>NORSJÖ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55507-2019</t>
        </is>
      </c>
      <c r="B84" s="1" t="n">
        <v>43755</v>
      </c>
      <c r="C84" s="1" t="n">
        <v>45845</v>
      </c>
      <c r="D84" t="inlineStr">
        <is>
          <t>VÄSTERBOTTENS LÄN</t>
        </is>
      </c>
      <c r="E84" t="inlineStr">
        <is>
          <t>NORSJÖ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57652-2019</t>
        </is>
      </c>
      <c r="B85" s="1" t="n">
        <v>43761</v>
      </c>
      <c r="C85" s="1" t="n">
        <v>45845</v>
      </c>
      <c r="D85" t="inlineStr">
        <is>
          <t>VÄSTERBOTTENS LÄN</t>
        </is>
      </c>
      <c r="E85" t="inlineStr">
        <is>
          <t>NORSJÖ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57046-2019</t>
        </is>
      </c>
      <c r="B86" s="1" t="n">
        <v>43766</v>
      </c>
      <c r="C86" s="1" t="n">
        <v>45845</v>
      </c>
      <c r="D86" t="inlineStr">
        <is>
          <t>VÄSTERBOTTENS LÄN</t>
        </is>
      </c>
      <c r="E86" t="inlineStr">
        <is>
          <t>NORSJÖ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58541-2019</t>
        </is>
      </c>
      <c r="B87" s="1" t="n">
        <v>43766</v>
      </c>
      <c r="C87" s="1" t="n">
        <v>45845</v>
      </c>
      <c r="D87" t="inlineStr">
        <is>
          <t>VÄSTERBOTTENS LÄN</t>
        </is>
      </c>
      <c r="E87" t="inlineStr">
        <is>
          <t>NORSJÖ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59546-2019</t>
        </is>
      </c>
      <c r="B88" s="1" t="n">
        <v>43773</v>
      </c>
      <c r="C88" s="1" t="n">
        <v>45845</v>
      </c>
      <c r="D88" t="inlineStr">
        <is>
          <t>VÄSTERBOTTENS LÄN</t>
        </is>
      </c>
      <c r="E88" t="inlineStr">
        <is>
          <t>NORSJÖ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58891-2019</t>
        </is>
      </c>
      <c r="B89" s="1" t="n">
        <v>43774</v>
      </c>
      <c r="C89" s="1" t="n">
        <v>45845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58890-2019</t>
        </is>
      </c>
      <c r="B90" s="1" t="n">
        <v>43774</v>
      </c>
      <c r="C90" s="1" t="n">
        <v>45845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58893-2019</t>
        </is>
      </c>
      <c r="B91" s="1" t="n">
        <v>43774</v>
      </c>
      <c r="C91" s="1" t="n">
        <v>45845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60265-2019</t>
        </is>
      </c>
      <c r="B92" s="1" t="n">
        <v>43780</v>
      </c>
      <c r="C92" s="1" t="n">
        <v>45845</v>
      </c>
      <c r="D92" t="inlineStr">
        <is>
          <t>VÄSTERBOTTENS LÄN</t>
        </is>
      </c>
      <c r="E92" t="inlineStr">
        <is>
          <t>NORSJÖ</t>
        </is>
      </c>
      <c r="F92" t="inlineStr">
        <is>
          <t>Sveaskog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62124-2019</t>
        </is>
      </c>
      <c r="B93" s="1" t="n">
        <v>43787</v>
      </c>
      <c r="C93" s="1" t="n">
        <v>45845</v>
      </c>
      <c r="D93" t="inlineStr">
        <is>
          <t>VÄSTERBOTTENS LÄN</t>
        </is>
      </c>
      <c r="E93" t="inlineStr">
        <is>
          <t>NORSJÖ</t>
        </is>
      </c>
      <c r="F93" t="inlineStr">
        <is>
          <t>Sveaskog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692-2020</t>
        </is>
      </c>
      <c r="B94" s="1" t="n">
        <v>43817</v>
      </c>
      <c r="C94" s="1" t="n">
        <v>45845</v>
      </c>
      <c r="D94" t="inlineStr">
        <is>
          <t>VÄSTERBOTTENS LÄN</t>
        </is>
      </c>
      <c r="E94" t="inlineStr">
        <is>
          <t>NORSJÖ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1854-2020</t>
        </is>
      </c>
      <c r="B95" s="1" t="n">
        <v>43844</v>
      </c>
      <c r="C95" s="1" t="n">
        <v>45845</v>
      </c>
      <c r="D95" t="inlineStr">
        <is>
          <t>VÄSTERBOTTENS LÄN</t>
        </is>
      </c>
      <c r="E95" t="inlineStr">
        <is>
          <t>NORSJÖ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3293-2020</t>
        </is>
      </c>
      <c r="B96" s="1" t="n">
        <v>43852</v>
      </c>
      <c r="C96" s="1" t="n">
        <v>45845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3237-2020</t>
        </is>
      </c>
      <c r="B97" s="1" t="n">
        <v>43852</v>
      </c>
      <c r="C97" s="1" t="n">
        <v>45845</v>
      </c>
      <c r="D97" t="inlineStr">
        <is>
          <t>VÄSTERBOTTENS LÄN</t>
        </is>
      </c>
      <c r="E97" t="inlineStr">
        <is>
          <t>NORSJÖ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6998-2020</t>
        </is>
      </c>
      <c r="B98" s="1" t="n">
        <v>43866</v>
      </c>
      <c r="C98" s="1" t="n">
        <v>45845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7001-2020</t>
        </is>
      </c>
      <c r="B99" s="1" t="n">
        <v>43866</v>
      </c>
      <c r="C99" s="1" t="n">
        <v>45845</v>
      </c>
      <c r="D99" t="inlineStr">
        <is>
          <t>VÄSTERBOTTENS LÄN</t>
        </is>
      </c>
      <c r="E99" t="inlineStr">
        <is>
          <t>NORSJÖ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7742-2020</t>
        </is>
      </c>
      <c r="B100" s="1" t="n">
        <v>43872</v>
      </c>
      <c r="C100" s="1" t="n">
        <v>45845</v>
      </c>
      <c r="D100" t="inlineStr">
        <is>
          <t>VÄSTERBOTTENS LÄN</t>
        </is>
      </c>
      <c r="E100" t="inlineStr">
        <is>
          <t>NORSJÖ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11058-2020</t>
        </is>
      </c>
      <c r="B101" s="1" t="n">
        <v>43886</v>
      </c>
      <c r="C101" s="1" t="n">
        <v>45845</v>
      </c>
      <c r="D101" t="inlineStr">
        <is>
          <t>VÄSTERBOTTENS LÄN</t>
        </is>
      </c>
      <c r="E101" t="inlineStr">
        <is>
          <t>NORSJÖ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14882-2020</t>
        </is>
      </c>
      <c r="B102" s="1" t="n">
        <v>43906</v>
      </c>
      <c r="C102" s="1" t="n">
        <v>45845</v>
      </c>
      <c r="D102" t="inlineStr">
        <is>
          <t>VÄSTERBOTTENS LÄN</t>
        </is>
      </c>
      <c r="E102" t="inlineStr">
        <is>
          <t>NORSJÖ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18540-2020</t>
        </is>
      </c>
      <c r="B103" s="1" t="n">
        <v>43927</v>
      </c>
      <c r="C103" s="1" t="n">
        <v>45845</v>
      </c>
      <c r="D103" t="inlineStr">
        <is>
          <t>VÄSTERBOTTENS LÄN</t>
        </is>
      </c>
      <c r="E103" t="inlineStr">
        <is>
          <t>NORSJÖ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18536-2020</t>
        </is>
      </c>
      <c r="B104" s="1" t="n">
        <v>43927</v>
      </c>
      <c r="C104" s="1" t="n">
        <v>45845</v>
      </c>
      <c r="D104" t="inlineStr">
        <is>
          <t>VÄSTERBOTTENS LÄN</t>
        </is>
      </c>
      <c r="E104" t="inlineStr">
        <is>
          <t>NORSJÖ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23431-2020</t>
        </is>
      </c>
      <c r="B105" s="1" t="n">
        <v>43966</v>
      </c>
      <c r="C105" s="1" t="n">
        <v>45845</v>
      </c>
      <c r="D105" t="inlineStr">
        <is>
          <t>VÄSTERBOTTENS LÄN</t>
        </is>
      </c>
      <c r="E105" t="inlineStr">
        <is>
          <t>NORSJÖ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26433-2020</t>
        </is>
      </c>
      <c r="B106" s="1" t="n">
        <v>43987</v>
      </c>
      <c r="C106" s="1" t="n">
        <v>45845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27545-2020</t>
        </is>
      </c>
      <c r="B107" s="1" t="n">
        <v>43993</v>
      </c>
      <c r="C107" s="1" t="n">
        <v>45845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27792-2020</t>
        </is>
      </c>
      <c r="B108" s="1" t="n">
        <v>43994</v>
      </c>
      <c r="C108" s="1" t="n">
        <v>45845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28265-2020</t>
        </is>
      </c>
      <c r="B109" s="1" t="n">
        <v>43998</v>
      </c>
      <c r="C109" s="1" t="n">
        <v>45845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28345-2020</t>
        </is>
      </c>
      <c r="B110" s="1" t="n">
        <v>43998</v>
      </c>
      <c r="C110" s="1" t="n">
        <v>45845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28991-2020</t>
        </is>
      </c>
      <c r="B111" s="1" t="n">
        <v>44000</v>
      </c>
      <c r="C111" s="1" t="n">
        <v>45845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29805-2020</t>
        </is>
      </c>
      <c r="B112" s="1" t="n">
        <v>44006</v>
      </c>
      <c r="C112" s="1" t="n">
        <v>45845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30531-2020</t>
        </is>
      </c>
      <c r="B113" s="1" t="n">
        <v>44008</v>
      </c>
      <c r="C113" s="1" t="n">
        <v>45845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30777-2020</t>
        </is>
      </c>
      <c r="B114" s="1" t="n">
        <v>44009</v>
      </c>
      <c r="C114" s="1" t="n">
        <v>45845</v>
      </c>
      <c r="D114" t="inlineStr">
        <is>
          <t>VÄSTERBOTTENS LÄN</t>
        </is>
      </c>
      <c r="E114" t="inlineStr">
        <is>
          <t>NORSJÖ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31530-2020</t>
        </is>
      </c>
      <c r="B115" s="1" t="n">
        <v>44013</v>
      </c>
      <c r="C115" s="1" t="n">
        <v>45845</v>
      </c>
      <c r="D115" t="inlineStr">
        <is>
          <t>VÄSTERBOTTENS LÄN</t>
        </is>
      </c>
      <c r="E115" t="inlineStr">
        <is>
          <t>NORSJÖ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32184-2020</t>
        </is>
      </c>
      <c r="B116" s="1" t="n">
        <v>44015</v>
      </c>
      <c r="C116" s="1" t="n">
        <v>45845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32670-2020</t>
        </is>
      </c>
      <c r="B117" s="1" t="n">
        <v>44019</v>
      </c>
      <c r="C117" s="1" t="n">
        <v>45845</v>
      </c>
      <c r="D117" t="inlineStr">
        <is>
          <t>VÄSTERBOTTENS LÄN</t>
        </is>
      </c>
      <c r="E117" t="inlineStr">
        <is>
          <t>NORSJÖ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33731-2020</t>
        </is>
      </c>
      <c r="B118" s="1" t="n">
        <v>44023</v>
      </c>
      <c r="C118" s="1" t="n">
        <v>45845</v>
      </c>
      <c r="D118" t="inlineStr">
        <is>
          <t>VÄSTERBOTTENS LÄN</t>
        </is>
      </c>
      <c r="E118" t="inlineStr">
        <is>
          <t>NORSJÖ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33734-2020</t>
        </is>
      </c>
      <c r="B119" s="1" t="n">
        <v>44023</v>
      </c>
      <c r="C119" s="1" t="n">
        <v>45845</v>
      </c>
      <c r="D119" t="inlineStr">
        <is>
          <t>VÄSTERBOTTENS LÄN</t>
        </is>
      </c>
      <c r="E119" t="inlineStr">
        <is>
          <t>NORSJÖ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33928-2020</t>
        </is>
      </c>
      <c r="B120" s="1" t="n">
        <v>44027</v>
      </c>
      <c r="C120" s="1" t="n">
        <v>45845</v>
      </c>
      <c r="D120" t="inlineStr">
        <is>
          <t>VÄSTERBOTTENS LÄN</t>
        </is>
      </c>
      <c r="E120" t="inlineStr">
        <is>
          <t>NORSJÖ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34733-2020</t>
        </is>
      </c>
      <c r="B121" s="1" t="n">
        <v>44035</v>
      </c>
      <c r="C121" s="1" t="n">
        <v>45845</v>
      </c>
      <c r="D121" t="inlineStr">
        <is>
          <t>VÄSTERBOTTENS LÄN</t>
        </is>
      </c>
      <c r="E121" t="inlineStr">
        <is>
          <t>NORSJÖ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36842-2020</t>
        </is>
      </c>
      <c r="B122" s="1" t="n">
        <v>44053</v>
      </c>
      <c r="C122" s="1" t="n">
        <v>45845</v>
      </c>
      <c r="D122" t="inlineStr">
        <is>
          <t>VÄSTERBOTTENS LÄN</t>
        </is>
      </c>
      <c r="E122" t="inlineStr">
        <is>
          <t>NORSJÖ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36844-2020</t>
        </is>
      </c>
      <c r="B123" s="1" t="n">
        <v>44053</v>
      </c>
      <c r="C123" s="1" t="n">
        <v>45845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37073-2020</t>
        </is>
      </c>
      <c r="B124" s="1" t="n">
        <v>44054</v>
      </c>
      <c r="C124" s="1" t="n">
        <v>45845</v>
      </c>
      <c r="D124" t="inlineStr">
        <is>
          <t>VÄSTERBOTTENS LÄN</t>
        </is>
      </c>
      <c r="E124" t="inlineStr">
        <is>
          <t>NORSJÖ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39151-2020</t>
        </is>
      </c>
      <c r="B125" s="1" t="n">
        <v>44063</v>
      </c>
      <c r="C125" s="1" t="n">
        <v>45845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40272-2020</t>
        </is>
      </c>
      <c r="B126" s="1" t="n">
        <v>44068</v>
      </c>
      <c r="C126" s="1" t="n">
        <v>45845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41674-2020</t>
        </is>
      </c>
      <c r="B127" s="1" t="n">
        <v>44074</v>
      </c>
      <c r="C127" s="1" t="n">
        <v>45845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41664-2020</t>
        </is>
      </c>
      <c r="B128" s="1" t="n">
        <v>44074</v>
      </c>
      <c r="C128" s="1" t="n">
        <v>45845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50986-2020</t>
        </is>
      </c>
      <c r="B129" s="1" t="n">
        <v>44111</v>
      </c>
      <c r="C129" s="1" t="n">
        <v>45845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52340-2020</t>
        </is>
      </c>
      <c r="B130" s="1" t="n">
        <v>44117</v>
      </c>
      <c r="C130" s="1" t="n">
        <v>45845</v>
      </c>
      <c r="D130" t="inlineStr">
        <is>
          <t>VÄSTERBOTTENS LÄN</t>
        </is>
      </c>
      <c r="E130" t="inlineStr">
        <is>
          <t>NORSJÖ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52939-2020</t>
        </is>
      </c>
      <c r="B131" s="1" t="n">
        <v>44119</v>
      </c>
      <c r="C131" s="1" t="n">
        <v>45845</v>
      </c>
      <c r="D131" t="inlineStr">
        <is>
          <t>VÄSTERBOTTENS LÄN</t>
        </is>
      </c>
      <c r="E131" t="inlineStr">
        <is>
          <t>NORSJÖ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59031-2020</t>
        </is>
      </c>
      <c r="B132" s="1" t="n">
        <v>44147</v>
      </c>
      <c r="C132" s="1" t="n">
        <v>45845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60216-2020</t>
        </is>
      </c>
      <c r="B133" s="1" t="n">
        <v>44152</v>
      </c>
      <c r="C133" s="1" t="n">
        <v>45845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60226-2020</t>
        </is>
      </c>
      <c r="B134" s="1" t="n">
        <v>44152</v>
      </c>
      <c r="C134" s="1" t="n">
        <v>45845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61196-2020</t>
        </is>
      </c>
      <c r="B135" s="1" t="n">
        <v>44155</v>
      </c>
      <c r="C135" s="1" t="n">
        <v>45845</v>
      </c>
      <c r="D135" t="inlineStr">
        <is>
          <t>VÄSTERBOTTENS LÄN</t>
        </is>
      </c>
      <c r="E135" t="inlineStr">
        <is>
          <t>NORSJÖ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62100-2020</t>
        </is>
      </c>
      <c r="B136" s="1" t="n">
        <v>44159</v>
      </c>
      <c r="C136" s="1" t="n">
        <v>45845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62037-2020</t>
        </is>
      </c>
      <c r="B137" s="1" t="n">
        <v>44159</v>
      </c>
      <c r="C137" s="1" t="n">
        <v>45845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62701-2020</t>
        </is>
      </c>
      <c r="B138" s="1" t="n">
        <v>44161</v>
      </c>
      <c r="C138" s="1" t="n">
        <v>45845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63499-2020</t>
        </is>
      </c>
      <c r="B139" s="1" t="n">
        <v>44165</v>
      </c>
      <c r="C139" s="1" t="n">
        <v>45845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65392-2020</t>
        </is>
      </c>
      <c r="B140" s="1" t="n">
        <v>44169</v>
      </c>
      <c r="C140" s="1" t="n">
        <v>45845</v>
      </c>
      <c r="D140" t="inlineStr">
        <is>
          <t>VÄSTERBOTTENS LÄN</t>
        </is>
      </c>
      <c r="E140" t="inlineStr">
        <is>
          <t>NORSJÖ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67226-2020</t>
        </is>
      </c>
      <c r="B141" s="1" t="n">
        <v>44180</v>
      </c>
      <c r="C141" s="1" t="n">
        <v>45845</v>
      </c>
      <c r="D141" t="inlineStr">
        <is>
          <t>VÄSTERBOTTENS LÄN</t>
        </is>
      </c>
      <c r="E141" t="inlineStr">
        <is>
          <t>NORSJÖ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67227-2020</t>
        </is>
      </c>
      <c r="B142" s="1" t="n">
        <v>44180</v>
      </c>
      <c r="C142" s="1" t="n">
        <v>45845</v>
      </c>
      <c r="D142" t="inlineStr">
        <is>
          <t>VÄSTERBOTTENS LÄN</t>
        </is>
      </c>
      <c r="E142" t="inlineStr">
        <is>
          <t>NORSJÖ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2148-2021</t>
        </is>
      </c>
      <c r="B143" s="1" t="n">
        <v>44211</v>
      </c>
      <c r="C143" s="1" t="n">
        <v>45845</v>
      </c>
      <c r="D143" t="inlineStr">
        <is>
          <t>VÄSTERBOTTENS LÄN</t>
        </is>
      </c>
      <c r="E143" t="inlineStr">
        <is>
          <t>NORSJÖ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3878-2021</t>
        </is>
      </c>
      <c r="B144" s="1" t="n">
        <v>44222</v>
      </c>
      <c r="C144" s="1" t="n">
        <v>45845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7025-2021</t>
        </is>
      </c>
      <c r="B145" s="1" t="n">
        <v>44237</v>
      </c>
      <c r="C145" s="1" t="n">
        <v>45845</v>
      </c>
      <c r="D145" t="inlineStr">
        <is>
          <t>VÄSTERBOTTENS LÄN</t>
        </is>
      </c>
      <c r="E145" t="inlineStr">
        <is>
          <t>NORSJÖ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9987-2021</t>
        </is>
      </c>
      <c r="B146" s="1" t="n">
        <v>44254</v>
      </c>
      <c r="C146" s="1" t="n">
        <v>45845</v>
      </c>
      <c r="D146" t="inlineStr">
        <is>
          <t>VÄSTERBOTTENS LÄN</t>
        </is>
      </c>
      <c r="E146" t="inlineStr">
        <is>
          <t>NORSJÖ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10421-2021</t>
        </is>
      </c>
      <c r="B147" s="1" t="n">
        <v>44257</v>
      </c>
      <c r="C147" s="1" t="n">
        <v>45845</v>
      </c>
      <c r="D147" t="inlineStr">
        <is>
          <t>VÄSTERBOTTENS LÄN</t>
        </is>
      </c>
      <c r="E147" t="inlineStr">
        <is>
          <t>NORSJÖ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13783-2021</t>
        </is>
      </c>
      <c r="B148" s="1" t="n">
        <v>44274</v>
      </c>
      <c r="C148" s="1" t="n">
        <v>45845</v>
      </c>
      <c r="D148" t="inlineStr">
        <is>
          <t>VÄSTERBOTTENS LÄN</t>
        </is>
      </c>
      <c r="E148" t="inlineStr">
        <is>
          <t>NORSJÖ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15379-2021</t>
        </is>
      </c>
      <c r="B149" s="1" t="n">
        <v>44284</v>
      </c>
      <c r="C149" s="1" t="n">
        <v>45845</v>
      </c>
      <c r="D149" t="inlineStr">
        <is>
          <t>VÄSTERBOTTENS LÄN</t>
        </is>
      </c>
      <c r="E149" t="inlineStr">
        <is>
          <t>NORSJÖ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15889-2021</t>
        </is>
      </c>
      <c r="B150" s="1" t="n">
        <v>44287</v>
      </c>
      <c r="C150" s="1" t="n">
        <v>45845</v>
      </c>
      <c r="D150" t="inlineStr">
        <is>
          <t>VÄSTERBOTTENS LÄN</t>
        </is>
      </c>
      <c r="E150" t="inlineStr">
        <is>
          <t>NORSJÖ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18862-2021</t>
        </is>
      </c>
      <c r="B151" s="1" t="n">
        <v>44308</v>
      </c>
      <c r="C151" s="1" t="n">
        <v>45845</v>
      </c>
      <c r="D151" t="inlineStr">
        <is>
          <t>VÄSTERBOTTENS LÄN</t>
        </is>
      </c>
      <c r="E151" t="inlineStr">
        <is>
          <t>NORSJÖ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18861-2021</t>
        </is>
      </c>
      <c r="B152" s="1" t="n">
        <v>44308</v>
      </c>
      <c r="C152" s="1" t="n">
        <v>45845</v>
      </c>
      <c r="D152" t="inlineStr">
        <is>
          <t>VÄSTERBOTTENS LÄN</t>
        </is>
      </c>
      <c r="E152" t="inlineStr">
        <is>
          <t>NORSJÖ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19662-2021</t>
        </is>
      </c>
      <c r="B153" s="1" t="n">
        <v>44312</v>
      </c>
      <c r="C153" s="1" t="n">
        <v>45845</v>
      </c>
      <c r="D153" t="inlineStr">
        <is>
          <t>VÄSTERBOTTENS LÄN</t>
        </is>
      </c>
      <c r="E153" t="inlineStr">
        <is>
          <t>NORSJÖ</t>
        </is>
      </c>
      <c r="F153" t="inlineStr">
        <is>
          <t>Holmen skog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22978-2021</t>
        </is>
      </c>
      <c r="B154" s="1" t="n">
        <v>44328</v>
      </c>
      <c r="C154" s="1" t="n">
        <v>45845</v>
      </c>
      <c r="D154" t="inlineStr">
        <is>
          <t>VÄSTERBOTTENS LÄN</t>
        </is>
      </c>
      <c r="E154" t="inlineStr">
        <is>
          <t>NORSJÖ</t>
        </is>
      </c>
      <c r="F154" t="inlineStr">
        <is>
          <t>Sveaskog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24235-2021</t>
        </is>
      </c>
      <c r="B155" s="1" t="n">
        <v>44337</v>
      </c>
      <c r="C155" s="1" t="n">
        <v>45845</v>
      </c>
      <c r="D155" t="inlineStr">
        <is>
          <t>VÄSTERBOTTENS LÄN</t>
        </is>
      </c>
      <c r="E155" t="inlineStr">
        <is>
          <t>NORSJÖ</t>
        </is>
      </c>
      <c r="G155" t="n">
        <v>15.4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28462-2021</t>
        </is>
      </c>
      <c r="B156" s="1" t="n">
        <v>44356</v>
      </c>
      <c r="C156" s="1" t="n">
        <v>45845</v>
      </c>
      <c r="D156" t="inlineStr">
        <is>
          <t>VÄSTERBOTTENS LÄN</t>
        </is>
      </c>
      <c r="E156" t="inlineStr">
        <is>
          <t>NORSJÖ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28889-2021</t>
        </is>
      </c>
      <c r="B157" s="1" t="n">
        <v>44358</v>
      </c>
      <c r="C157" s="1" t="n">
        <v>45845</v>
      </c>
      <c r="D157" t="inlineStr">
        <is>
          <t>VÄSTERBOTTENS LÄN</t>
        </is>
      </c>
      <c r="E157" t="inlineStr">
        <is>
          <t>NORSJÖ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29922-2021</t>
        </is>
      </c>
      <c r="B158" s="1" t="n">
        <v>44362</v>
      </c>
      <c r="C158" s="1" t="n">
        <v>45845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29923-2021</t>
        </is>
      </c>
      <c r="B159" s="1" t="n">
        <v>44362</v>
      </c>
      <c r="C159" s="1" t="n">
        <v>45845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31414-2021</t>
        </is>
      </c>
      <c r="B160" s="1" t="n">
        <v>44368</v>
      </c>
      <c r="C160" s="1" t="n">
        <v>45845</v>
      </c>
      <c r="D160" t="inlineStr">
        <is>
          <t>VÄSTERBOTTENS LÄN</t>
        </is>
      </c>
      <c r="E160" t="inlineStr">
        <is>
          <t>NORSJÖ</t>
        </is>
      </c>
      <c r="G160" t="n">
        <v>29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32033-2021</t>
        </is>
      </c>
      <c r="B161" s="1" t="n">
        <v>44370</v>
      </c>
      <c r="C161" s="1" t="n">
        <v>45845</v>
      </c>
      <c r="D161" t="inlineStr">
        <is>
          <t>VÄSTERBOTTENS LÄN</t>
        </is>
      </c>
      <c r="E161" t="inlineStr">
        <is>
          <t>NORSJÖ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32006-2021</t>
        </is>
      </c>
      <c r="B162" s="1" t="n">
        <v>44370</v>
      </c>
      <c r="C162" s="1" t="n">
        <v>45845</v>
      </c>
      <c r="D162" t="inlineStr">
        <is>
          <t>VÄSTERBOTTENS LÄN</t>
        </is>
      </c>
      <c r="E162" t="inlineStr">
        <is>
          <t>NORSJÖ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32083-2021</t>
        </is>
      </c>
      <c r="B163" s="1" t="n">
        <v>44371</v>
      </c>
      <c r="C163" s="1" t="n">
        <v>45845</v>
      </c>
      <c r="D163" t="inlineStr">
        <is>
          <t>VÄSTERBOTTENS LÄN</t>
        </is>
      </c>
      <c r="E163" t="inlineStr">
        <is>
          <t>NORSJÖ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32451-2021</t>
        </is>
      </c>
      <c r="B164" s="1" t="n">
        <v>44371</v>
      </c>
      <c r="C164" s="1" t="n">
        <v>45845</v>
      </c>
      <c r="D164" t="inlineStr">
        <is>
          <t>VÄSTERBOTTENS LÄN</t>
        </is>
      </c>
      <c r="E164" t="inlineStr">
        <is>
          <t>NORSJÖ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32429-2021</t>
        </is>
      </c>
      <c r="B165" s="1" t="n">
        <v>44371</v>
      </c>
      <c r="C165" s="1" t="n">
        <v>45845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13.9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32661-2021</t>
        </is>
      </c>
      <c r="B166" s="1" t="n">
        <v>44375</v>
      </c>
      <c r="C166" s="1" t="n">
        <v>45845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33249-2021</t>
        </is>
      </c>
      <c r="B167" s="1" t="n">
        <v>44376</v>
      </c>
      <c r="C167" s="1" t="n">
        <v>45845</v>
      </c>
      <c r="D167" t="inlineStr">
        <is>
          <t>VÄSTERBOTTENS LÄN</t>
        </is>
      </c>
      <c r="E167" t="inlineStr">
        <is>
          <t>NORSJÖ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33261-2021</t>
        </is>
      </c>
      <c r="B168" s="1" t="n">
        <v>44376</v>
      </c>
      <c r="C168" s="1" t="n">
        <v>45845</v>
      </c>
      <c r="D168" t="inlineStr">
        <is>
          <t>VÄSTERBOTTENS LÄN</t>
        </is>
      </c>
      <c r="E168" t="inlineStr">
        <is>
          <t>NORSJÖ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33381-2021</t>
        </is>
      </c>
      <c r="B169" s="1" t="n">
        <v>44377</v>
      </c>
      <c r="C169" s="1" t="n">
        <v>45845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34883-2021</t>
        </is>
      </c>
      <c r="B170" s="1" t="n">
        <v>44382</v>
      </c>
      <c r="C170" s="1" t="n">
        <v>45845</v>
      </c>
      <c r="D170" t="inlineStr">
        <is>
          <t>VÄSTERBOTTENS LÄN</t>
        </is>
      </c>
      <c r="E170" t="inlineStr">
        <is>
          <t>NORSJÖ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34900-2021</t>
        </is>
      </c>
      <c r="B171" s="1" t="n">
        <v>44383</v>
      </c>
      <c r="C171" s="1" t="n">
        <v>45845</v>
      </c>
      <c r="D171" t="inlineStr">
        <is>
          <t>VÄSTERBOTTENS LÄN</t>
        </is>
      </c>
      <c r="E171" t="inlineStr">
        <is>
          <t>NORSJÖ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38172-2021</t>
        </is>
      </c>
      <c r="B172" s="1" t="n">
        <v>44405</v>
      </c>
      <c r="C172" s="1" t="n">
        <v>45845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38241-2021</t>
        </is>
      </c>
      <c r="B173" s="1" t="n">
        <v>44405</v>
      </c>
      <c r="C173" s="1" t="n">
        <v>45845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38210-2021</t>
        </is>
      </c>
      <c r="B174" s="1" t="n">
        <v>44405</v>
      </c>
      <c r="C174" s="1" t="n">
        <v>45845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39305-2021</t>
        </is>
      </c>
      <c r="B175" s="1" t="n">
        <v>44413</v>
      </c>
      <c r="C175" s="1" t="n">
        <v>45845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39577-2021</t>
        </is>
      </c>
      <c r="B176" s="1" t="n">
        <v>44416</v>
      </c>
      <c r="C176" s="1" t="n">
        <v>45845</v>
      </c>
      <c r="D176" t="inlineStr">
        <is>
          <t>VÄSTERBOTTENS LÄN</t>
        </is>
      </c>
      <c r="E176" t="inlineStr">
        <is>
          <t>NORSJÖ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39936-2021</t>
        </is>
      </c>
      <c r="B177" s="1" t="n">
        <v>44418</v>
      </c>
      <c r="C177" s="1" t="n">
        <v>45845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SCA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39995-2021</t>
        </is>
      </c>
      <c r="B178" s="1" t="n">
        <v>44417</v>
      </c>
      <c r="C178" s="1" t="n">
        <v>45845</v>
      </c>
      <c r="D178" t="inlineStr">
        <is>
          <t>VÄSTERBOTTENS LÄN</t>
        </is>
      </c>
      <c r="E178" t="inlineStr">
        <is>
          <t>NORSJÖ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41250-2021</t>
        </is>
      </c>
      <c r="B179" s="1" t="n">
        <v>44424</v>
      </c>
      <c r="C179" s="1" t="n">
        <v>45845</v>
      </c>
      <c r="D179" t="inlineStr">
        <is>
          <t>VÄSTERBOTTENS LÄN</t>
        </is>
      </c>
      <c r="E179" t="inlineStr">
        <is>
          <t>NORSJÖ</t>
        </is>
      </c>
      <c r="F179" t="inlineStr">
        <is>
          <t>Kommuner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44584-2021</t>
        </is>
      </c>
      <c r="B180" s="1" t="n">
        <v>44435</v>
      </c>
      <c r="C180" s="1" t="n">
        <v>45845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44582-2021</t>
        </is>
      </c>
      <c r="B181" s="1" t="n">
        <v>44435</v>
      </c>
      <c r="C181" s="1" t="n">
        <v>45845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45618-2021</t>
        </is>
      </c>
      <c r="B182" s="1" t="n">
        <v>44441</v>
      </c>
      <c r="C182" s="1" t="n">
        <v>45845</v>
      </c>
      <c r="D182" t="inlineStr">
        <is>
          <t>VÄSTERBOTTENS LÄN</t>
        </is>
      </c>
      <c r="E182" t="inlineStr">
        <is>
          <t>NORSJÖ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46018-2021</t>
        </is>
      </c>
      <c r="B183" s="1" t="n">
        <v>44441</v>
      </c>
      <c r="C183" s="1" t="n">
        <v>45845</v>
      </c>
      <c r="D183" t="inlineStr">
        <is>
          <t>VÄSTERBOTTENS LÄN</t>
        </is>
      </c>
      <c r="E183" t="inlineStr">
        <is>
          <t>NORSJÖ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46776-2021</t>
        </is>
      </c>
      <c r="B184" s="1" t="n">
        <v>44446</v>
      </c>
      <c r="C184" s="1" t="n">
        <v>45845</v>
      </c>
      <c r="D184" t="inlineStr">
        <is>
          <t>VÄSTERBOTTENS LÄN</t>
        </is>
      </c>
      <c r="E184" t="inlineStr">
        <is>
          <t>NORSJÖ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46775-2021</t>
        </is>
      </c>
      <c r="B185" s="1" t="n">
        <v>44446</v>
      </c>
      <c r="C185" s="1" t="n">
        <v>45845</v>
      </c>
      <c r="D185" t="inlineStr">
        <is>
          <t>VÄSTERBOTTENS LÄN</t>
        </is>
      </c>
      <c r="E185" t="inlineStr">
        <is>
          <t>NORSJÖ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49173-2021</t>
        </is>
      </c>
      <c r="B186" s="1" t="n">
        <v>44453</v>
      </c>
      <c r="C186" s="1" t="n">
        <v>45845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51297-2021</t>
        </is>
      </c>
      <c r="B187" s="1" t="n">
        <v>44461</v>
      </c>
      <c r="C187" s="1" t="n">
        <v>45845</v>
      </c>
      <c r="D187" t="inlineStr">
        <is>
          <t>VÄSTERBOTTENS LÄN</t>
        </is>
      </c>
      <c r="E187" t="inlineStr">
        <is>
          <t>NORSJÖ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51682-2021</t>
        </is>
      </c>
      <c r="B188" s="1" t="n">
        <v>44462</v>
      </c>
      <c r="C188" s="1" t="n">
        <v>45845</v>
      </c>
      <c r="D188" t="inlineStr">
        <is>
          <t>VÄSTERBOTTENS LÄN</t>
        </is>
      </c>
      <c r="E188" t="inlineStr">
        <is>
          <t>NORSJÖ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52552-2021</t>
        </is>
      </c>
      <c r="B189" s="1" t="n">
        <v>44466</v>
      </c>
      <c r="C189" s="1" t="n">
        <v>45845</v>
      </c>
      <c r="D189" t="inlineStr">
        <is>
          <t>VÄSTERBOTTENS LÄN</t>
        </is>
      </c>
      <c r="E189" t="inlineStr">
        <is>
          <t>NORSJÖ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53557-2021</t>
        </is>
      </c>
      <c r="B190" s="1" t="n">
        <v>44468</v>
      </c>
      <c r="C190" s="1" t="n">
        <v>45845</v>
      </c>
      <c r="D190" t="inlineStr">
        <is>
          <t>VÄSTERBOTTENS LÄN</t>
        </is>
      </c>
      <c r="E190" t="inlineStr">
        <is>
          <t>NORSJÖ</t>
        </is>
      </c>
      <c r="F190" t="inlineStr">
        <is>
          <t>Övriga Aktiebolag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54388-2021</t>
        </is>
      </c>
      <c r="B191" s="1" t="n">
        <v>44470</v>
      </c>
      <c r="C191" s="1" t="n">
        <v>45845</v>
      </c>
      <c r="D191" t="inlineStr">
        <is>
          <t>VÄSTERBOTTENS LÄN</t>
        </is>
      </c>
      <c r="E191" t="inlineStr">
        <is>
          <t>NORSJÖ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55160-2021</t>
        </is>
      </c>
      <c r="B192" s="1" t="n">
        <v>44475</v>
      </c>
      <c r="C192" s="1" t="n">
        <v>45845</v>
      </c>
      <c r="D192" t="inlineStr">
        <is>
          <t>VÄSTERBOTTENS LÄN</t>
        </is>
      </c>
      <c r="E192" t="inlineStr">
        <is>
          <t>NORSJÖ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55159-2021</t>
        </is>
      </c>
      <c r="B193" s="1" t="n">
        <v>44475</v>
      </c>
      <c r="C193" s="1" t="n">
        <v>45845</v>
      </c>
      <c r="D193" t="inlineStr">
        <is>
          <t>VÄSTERBOTTENS LÄN</t>
        </is>
      </c>
      <c r="E193" t="inlineStr">
        <is>
          <t>NORSJÖ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55743-2021</t>
        </is>
      </c>
      <c r="B194" s="1" t="n">
        <v>44476</v>
      </c>
      <c r="C194" s="1" t="n">
        <v>45845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55741-2021</t>
        </is>
      </c>
      <c r="B195" s="1" t="n">
        <v>44476</v>
      </c>
      <c r="C195" s="1" t="n">
        <v>45845</v>
      </c>
      <c r="D195" t="inlineStr">
        <is>
          <t>VÄSTERBOTTENS LÄN</t>
        </is>
      </c>
      <c r="E195" t="inlineStr">
        <is>
          <t>NORSJÖ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57195-2021</t>
        </is>
      </c>
      <c r="B196" s="1" t="n">
        <v>44483</v>
      </c>
      <c r="C196" s="1" t="n">
        <v>45845</v>
      </c>
      <c r="D196" t="inlineStr">
        <is>
          <t>VÄSTERBOTTENS LÄN</t>
        </is>
      </c>
      <c r="E196" t="inlineStr">
        <is>
          <t>NORSJÖ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57126-2021</t>
        </is>
      </c>
      <c r="B197" s="1" t="n">
        <v>44482</v>
      </c>
      <c r="C197" s="1" t="n">
        <v>45845</v>
      </c>
      <c r="D197" t="inlineStr">
        <is>
          <t>VÄSTERBOTTENS LÄN</t>
        </is>
      </c>
      <c r="E197" t="inlineStr">
        <is>
          <t>NORSJÖ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58005-2021</t>
        </is>
      </c>
      <c r="B198" s="1" t="n">
        <v>44487</v>
      </c>
      <c r="C198" s="1" t="n">
        <v>45845</v>
      </c>
      <c r="D198" t="inlineStr">
        <is>
          <t>VÄSTERBOTTENS LÄN</t>
        </is>
      </c>
      <c r="E198" t="inlineStr">
        <is>
          <t>NORSJÖ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58204-2021</t>
        </is>
      </c>
      <c r="B199" s="1" t="n">
        <v>44487</v>
      </c>
      <c r="C199" s="1" t="n">
        <v>45845</v>
      </c>
      <c r="D199" t="inlineStr">
        <is>
          <t>VÄSTERBOTTENS LÄN</t>
        </is>
      </c>
      <c r="E199" t="inlineStr">
        <is>
          <t>NORSJÖ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59133-2021</t>
        </is>
      </c>
      <c r="B200" s="1" t="n">
        <v>44490</v>
      </c>
      <c r="C200" s="1" t="n">
        <v>45845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59136-2021</t>
        </is>
      </c>
      <c r="B201" s="1" t="n">
        <v>44490</v>
      </c>
      <c r="C201" s="1" t="n">
        <v>45845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59280-2021</t>
        </is>
      </c>
      <c r="B202" s="1" t="n">
        <v>44490</v>
      </c>
      <c r="C202" s="1" t="n">
        <v>45845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64179-2021</t>
        </is>
      </c>
      <c r="B203" s="1" t="n">
        <v>44510</v>
      </c>
      <c r="C203" s="1" t="n">
        <v>45845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67104-2021</t>
        </is>
      </c>
      <c r="B204" s="1" t="n">
        <v>44523</v>
      </c>
      <c r="C204" s="1" t="n">
        <v>45845</v>
      </c>
      <c r="D204" t="inlineStr">
        <is>
          <t>VÄSTERBOTTENS LÄN</t>
        </is>
      </c>
      <c r="E204" t="inlineStr">
        <is>
          <t>NORSJÖ</t>
        </is>
      </c>
      <c r="F204" t="inlineStr">
        <is>
          <t>Naturvårdsverket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67379-2021</t>
        </is>
      </c>
      <c r="B205" s="1" t="n">
        <v>44523</v>
      </c>
      <c r="C205" s="1" t="n">
        <v>45845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67677-2021</t>
        </is>
      </c>
      <c r="B206" s="1" t="n">
        <v>44524</v>
      </c>
      <c r="C206" s="1" t="n">
        <v>45845</v>
      </c>
      <c r="D206" t="inlineStr">
        <is>
          <t>VÄSTERBOTTENS LÄN</t>
        </is>
      </c>
      <c r="E206" t="inlineStr">
        <is>
          <t>NORSJÖ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70216-2021</t>
        </is>
      </c>
      <c r="B207" s="1" t="n">
        <v>44535</v>
      </c>
      <c r="C207" s="1" t="n">
        <v>45845</v>
      </c>
      <c r="D207" t="inlineStr">
        <is>
          <t>VÄSTERBOTTENS LÄN</t>
        </is>
      </c>
      <c r="E207" t="inlineStr">
        <is>
          <t>NORSJÖ</t>
        </is>
      </c>
      <c r="G207" t="n">
        <v>16.4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70375-2021</t>
        </is>
      </c>
      <c r="B208" s="1" t="n">
        <v>44536</v>
      </c>
      <c r="C208" s="1" t="n">
        <v>45845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72322-2021</t>
        </is>
      </c>
      <c r="B209" s="1" t="n">
        <v>44545</v>
      </c>
      <c r="C209" s="1" t="n">
        <v>45845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72590-2021</t>
        </is>
      </c>
      <c r="B210" s="1" t="n">
        <v>44546</v>
      </c>
      <c r="C210" s="1" t="n">
        <v>45845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73559-2021</t>
        </is>
      </c>
      <c r="B211" s="1" t="n">
        <v>44551</v>
      </c>
      <c r="C211" s="1" t="n">
        <v>45845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73995-2021</t>
        </is>
      </c>
      <c r="B212" s="1" t="n">
        <v>44556</v>
      </c>
      <c r="C212" s="1" t="n">
        <v>45845</v>
      </c>
      <c r="D212" t="inlineStr">
        <is>
          <t>VÄSTERBOTTENS LÄN</t>
        </is>
      </c>
      <c r="E212" t="inlineStr">
        <is>
          <t>NORSJÖ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436-2022</t>
        </is>
      </c>
      <c r="B213" s="1" t="n">
        <v>44565</v>
      </c>
      <c r="C213" s="1" t="n">
        <v>45845</v>
      </c>
      <c r="D213" t="inlineStr">
        <is>
          <t>VÄSTERBOTTENS LÄN</t>
        </is>
      </c>
      <c r="E213" t="inlineStr">
        <is>
          <t>NORSJÖ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1463-2022</t>
        </is>
      </c>
      <c r="B214" s="1" t="n">
        <v>44573</v>
      </c>
      <c r="C214" s="1" t="n">
        <v>45845</v>
      </c>
      <c r="D214" t="inlineStr">
        <is>
          <t>VÄSTERBOTTENS LÄN</t>
        </is>
      </c>
      <c r="E214" t="inlineStr">
        <is>
          <t>NORSJÖ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1853-2022</t>
        </is>
      </c>
      <c r="B215" s="1" t="n">
        <v>44574</v>
      </c>
      <c r="C215" s="1" t="n">
        <v>45845</v>
      </c>
      <c r="D215" t="inlineStr">
        <is>
          <t>VÄSTERBOTTENS LÄN</t>
        </is>
      </c>
      <c r="E215" t="inlineStr">
        <is>
          <t>NORSJÖ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5371-2022</t>
        </is>
      </c>
      <c r="B216" s="1" t="n">
        <v>44594</v>
      </c>
      <c r="C216" s="1" t="n">
        <v>45845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5368-2022</t>
        </is>
      </c>
      <c r="B217" s="1" t="n">
        <v>44594</v>
      </c>
      <c r="C217" s="1" t="n">
        <v>45845</v>
      </c>
      <c r="D217" t="inlineStr">
        <is>
          <t>VÄSTERBOTTENS LÄN</t>
        </is>
      </c>
      <c r="E217" t="inlineStr">
        <is>
          <t>NORSJÖ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5372-2022</t>
        </is>
      </c>
      <c r="B218" s="1" t="n">
        <v>44594</v>
      </c>
      <c r="C218" s="1" t="n">
        <v>45845</v>
      </c>
      <c r="D218" t="inlineStr">
        <is>
          <t>VÄSTERBOTTENS LÄN</t>
        </is>
      </c>
      <c r="E218" t="inlineStr">
        <is>
          <t>NORSJÖ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6901-2022</t>
        </is>
      </c>
      <c r="B219" s="1" t="n">
        <v>44602</v>
      </c>
      <c r="C219" s="1" t="n">
        <v>45845</v>
      </c>
      <c r="D219" t="inlineStr">
        <is>
          <t>VÄSTERBOTTENS LÄN</t>
        </is>
      </c>
      <c r="E219" t="inlineStr">
        <is>
          <t>NORSJÖ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6902-2022</t>
        </is>
      </c>
      <c r="B220" s="1" t="n">
        <v>44602</v>
      </c>
      <c r="C220" s="1" t="n">
        <v>45845</v>
      </c>
      <c r="D220" t="inlineStr">
        <is>
          <t>VÄSTERBOTTENS LÄN</t>
        </is>
      </c>
      <c r="E220" t="inlineStr">
        <is>
          <t>NORSJÖ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6904-2022</t>
        </is>
      </c>
      <c r="B221" s="1" t="n">
        <v>44602</v>
      </c>
      <c r="C221" s="1" t="n">
        <v>45845</v>
      </c>
      <c r="D221" t="inlineStr">
        <is>
          <t>VÄSTERBOTTENS LÄN</t>
        </is>
      </c>
      <c r="E221" t="inlineStr">
        <is>
          <t>NORSJÖ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7320-2022</t>
        </is>
      </c>
      <c r="B222" s="1" t="n">
        <v>44606</v>
      </c>
      <c r="C222" s="1" t="n">
        <v>45845</v>
      </c>
      <c r="D222" t="inlineStr">
        <is>
          <t>VÄSTERBOTTENS LÄN</t>
        </is>
      </c>
      <c r="E222" t="inlineStr">
        <is>
          <t>NORSJÖ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7979-2022</t>
        </is>
      </c>
      <c r="B223" s="1" t="n">
        <v>44608</v>
      </c>
      <c r="C223" s="1" t="n">
        <v>45845</v>
      </c>
      <c r="D223" t="inlineStr">
        <is>
          <t>VÄSTERBOTTENS LÄN</t>
        </is>
      </c>
      <c r="E223" t="inlineStr">
        <is>
          <t>NORSJÖ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8917-2022</t>
        </is>
      </c>
      <c r="B224" s="1" t="n">
        <v>44615</v>
      </c>
      <c r="C224" s="1" t="n">
        <v>45845</v>
      </c>
      <c r="D224" t="inlineStr">
        <is>
          <t>VÄSTERBOTTENS LÄN</t>
        </is>
      </c>
      <c r="E224" t="inlineStr">
        <is>
          <t>NORSJÖ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9061-2022</t>
        </is>
      </c>
      <c r="B225" s="1" t="n">
        <v>44615</v>
      </c>
      <c r="C225" s="1" t="n">
        <v>45845</v>
      </c>
      <c r="D225" t="inlineStr">
        <is>
          <t>VÄSTERBOTTENS LÄN</t>
        </is>
      </c>
      <c r="E225" t="inlineStr">
        <is>
          <t>NORSJÖ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9719-2022</t>
        </is>
      </c>
      <c r="B226" s="1" t="n">
        <v>44617</v>
      </c>
      <c r="C226" s="1" t="n">
        <v>45845</v>
      </c>
      <c r="D226" t="inlineStr">
        <is>
          <t>VÄSTERBOTTENS LÄN</t>
        </is>
      </c>
      <c r="E226" t="inlineStr">
        <is>
          <t>NORSJÖ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9718-2022</t>
        </is>
      </c>
      <c r="B227" s="1" t="n">
        <v>44617</v>
      </c>
      <c r="C227" s="1" t="n">
        <v>45845</v>
      </c>
      <c r="D227" t="inlineStr">
        <is>
          <t>VÄSTERBOTTENS LÄN</t>
        </is>
      </c>
      <c r="E227" t="inlineStr">
        <is>
          <t>NORSJÖ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9921-2022</t>
        </is>
      </c>
      <c r="B228" s="1" t="n">
        <v>44620</v>
      </c>
      <c r="C228" s="1" t="n">
        <v>45845</v>
      </c>
      <c r="D228" t="inlineStr">
        <is>
          <t>VÄSTERBOTTENS LÄN</t>
        </is>
      </c>
      <c r="E228" t="inlineStr">
        <is>
          <t>NORSJÖ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15085-2022</t>
        </is>
      </c>
      <c r="B229" s="1" t="n">
        <v>44658</v>
      </c>
      <c r="C229" s="1" t="n">
        <v>45845</v>
      </c>
      <c r="D229" t="inlineStr">
        <is>
          <t>VÄSTERBOTTENS LÄN</t>
        </is>
      </c>
      <c r="E229" t="inlineStr">
        <is>
          <t>NORSJÖ</t>
        </is>
      </c>
      <c r="F229" t="inlineStr">
        <is>
          <t>Kyrkan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16294-2022</t>
        </is>
      </c>
      <c r="B230" s="1" t="n">
        <v>44670</v>
      </c>
      <c r="C230" s="1" t="n">
        <v>45845</v>
      </c>
      <c r="D230" t="inlineStr">
        <is>
          <t>VÄSTERBOTTENS LÄN</t>
        </is>
      </c>
      <c r="E230" t="inlineStr">
        <is>
          <t>NORSJÖ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16298-2022</t>
        </is>
      </c>
      <c r="B231" s="1" t="n">
        <v>44670</v>
      </c>
      <c r="C231" s="1" t="n">
        <v>45845</v>
      </c>
      <c r="D231" t="inlineStr">
        <is>
          <t>VÄSTERBOTTENS LÄN</t>
        </is>
      </c>
      <c r="E231" t="inlineStr">
        <is>
          <t>NORSJÖ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22912-2022</t>
        </is>
      </c>
      <c r="B232" s="1" t="n">
        <v>44715</v>
      </c>
      <c r="C232" s="1" t="n">
        <v>45845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23127-2022</t>
        </is>
      </c>
      <c r="B233" s="1" t="n">
        <v>44719</v>
      </c>
      <c r="C233" s="1" t="n">
        <v>45845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9.9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23168-2022</t>
        </is>
      </c>
      <c r="B234" s="1" t="n">
        <v>44719</v>
      </c>
      <c r="C234" s="1" t="n">
        <v>45845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23658-2022</t>
        </is>
      </c>
      <c r="B235" s="1" t="n">
        <v>44721</v>
      </c>
      <c r="C235" s="1" t="n">
        <v>45845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24814-2022</t>
        </is>
      </c>
      <c r="B236" s="1" t="n">
        <v>44728</v>
      </c>
      <c r="C236" s="1" t="n">
        <v>45845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27079-2022</t>
        </is>
      </c>
      <c r="B237" s="1" t="n">
        <v>44741</v>
      </c>
      <c r="C237" s="1" t="n">
        <v>45845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27563-2022</t>
        </is>
      </c>
      <c r="B238" s="1" t="n">
        <v>44743</v>
      </c>
      <c r="C238" s="1" t="n">
        <v>45845</v>
      </c>
      <c r="D238" t="inlineStr">
        <is>
          <t>VÄSTERBOTTENS LÄN</t>
        </is>
      </c>
      <c r="E238" t="inlineStr">
        <is>
          <t>NORSJÖ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28884-2022</t>
        </is>
      </c>
      <c r="B239" s="1" t="n">
        <v>44749</v>
      </c>
      <c r="C239" s="1" t="n">
        <v>45845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29275-2022</t>
        </is>
      </c>
      <c r="B240" s="1" t="n">
        <v>44750</v>
      </c>
      <c r="C240" s="1" t="n">
        <v>45845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32347-2022</t>
        </is>
      </c>
      <c r="B241" s="1" t="n">
        <v>44782</v>
      </c>
      <c r="C241" s="1" t="n">
        <v>45845</v>
      </c>
      <c r="D241" t="inlineStr">
        <is>
          <t>VÄSTERBOTTENS LÄN</t>
        </is>
      </c>
      <c r="E241" t="inlineStr">
        <is>
          <t>NORSJÖ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33468-2022</t>
        </is>
      </c>
      <c r="B242" s="1" t="n">
        <v>44788</v>
      </c>
      <c r="C242" s="1" t="n">
        <v>45845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35478-2022</t>
        </is>
      </c>
      <c r="B243" s="1" t="n">
        <v>44798</v>
      </c>
      <c r="C243" s="1" t="n">
        <v>45845</v>
      </c>
      <c r="D243" t="inlineStr">
        <is>
          <t>VÄSTERBOTTENS LÄN</t>
        </is>
      </c>
      <c r="E243" t="inlineStr">
        <is>
          <t>NORSJÖ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36472-2022</t>
        </is>
      </c>
      <c r="B244" s="1" t="n">
        <v>44804</v>
      </c>
      <c r="C244" s="1" t="n">
        <v>45845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36600-2022</t>
        </is>
      </c>
      <c r="B245" s="1" t="n">
        <v>44804</v>
      </c>
      <c r="C245" s="1" t="n">
        <v>45845</v>
      </c>
      <c r="D245" t="inlineStr">
        <is>
          <t>VÄSTERBOTTENS LÄN</t>
        </is>
      </c>
      <c r="E245" t="inlineStr">
        <is>
          <t>NORSJÖ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37135-2022</t>
        </is>
      </c>
      <c r="B246" s="1" t="n">
        <v>44806</v>
      </c>
      <c r="C246" s="1" t="n">
        <v>45845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38089-2022</t>
        </is>
      </c>
      <c r="B247" s="1" t="n">
        <v>44812</v>
      </c>
      <c r="C247" s="1" t="n">
        <v>45845</v>
      </c>
      <c r="D247" t="inlineStr">
        <is>
          <t>VÄSTERBOTTENS LÄN</t>
        </is>
      </c>
      <c r="E247" t="inlineStr">
        <is>
          <t>NORSJÖ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38999-2022</t>
        </is>
      </c>
      <c r="B248" s="1" t="n">
        <v>44817</v>
      </c>
      <c r="C248" s="1" t="n">
        <v>45845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39558-2022</t>
        </is>
      </c>
      <c r="B249" s="1" t="n">
        <v>44818</v>
      </c>
      <c r="C249" s="1" t="n">
        <v>45845</v>
      </c>
      <c r="D249" t="inlineStr">
        <is>
          <t>VÄSTERBOTTENS LÄN</t>
        </is>
      </c>
      <c r="E249" t="inlineStr">
        <is>
          <t>NORSJÖ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39988-2022</t>
        </is>
      </c>
      <c r="B250" s="1" t="n">
        <v>44820</v>
      </c>
      <c r="C250" s="1" t="n">
        <v>45845</v>
      </c>
      <c r="D250" t="inlineStr">
        <is>
          <t>VÄSTERBOTTENS LÄN</t>
        </is>
      </c>
      <c r="E250" t="inlineStr">
        <is>
          <t>NORSJÖ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41890-2022</t>
        </is>
      </c>
      <c r="B251" s="1" t="n">
        <v>44830</v>
      </c>
      <c r="C251" s="1" t="n">
        <v>45845</v>
      </c>
      <c r="D251" t="inlineStr">
        <is>
          <t>VÄSTERBOTTENS LÄN</t>
        </is>
      </c>
      <c r="E251" t="inlineStr">
        <is>
          <t>NORSJÖ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42114-2022</t>
        </is>
      </c>
      <c r="B252" s="1" t="n">
        <v>44830</v>
      </c>
      <c r="C252" s="1" t="n">
        <v>45845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42262-2022</t>
        </is>
      </c>
      <c r="B253" s="1" t="n">
        <v>44831</v>
      </c>
      <c r="C253" s="1" t="n">
        <v>45845</v>
      </c>
      <c r="D253" t="inlineStr">
        <is>
          <t>VÄSTERBOTTENS LÄN</t>
        </is>
      </c>
      <c r="E253" t="inlineStr">
        <is>
          <t>NORSJÖ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42253-2022</t>
        </is>
      </c>
      <c r="B254" s="1" t="n">
        <v>44831</v>
      </c>
      <c r="C254" s="1" t="n">
        <v>45845</v>
      </c>
      <c r="D254" t="inlineStr">
        <is>
          <t>VÄSTERBOTTENS LÄN</t>
        </is>
      </c>
      <c r="E254" t="inlineStr">
        <is>
          <t>NORSJÖ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42367-2022</t>
        </is>
      </c>
      <c r="B255" s="1" t="n">
        <v>44831</v>
      </c>
      <c r="C255" s="1" t="n">
        <v>45845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45845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45845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45845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45845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45845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45845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45845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45845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45845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45845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45845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45845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45845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45845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45845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45845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45845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45845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45845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45845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45845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45845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45845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45845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45845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45845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45845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45845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45845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45845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45845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45845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45845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45845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45845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45845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45845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45845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45845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45845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45845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45845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45845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45845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45845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45845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45845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45845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45845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45845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45845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45845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45845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45845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45845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45845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45845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45845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45845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45845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45845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45845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45845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45845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45845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45845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45845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45845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45845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45845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45845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45845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45845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45845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45845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45845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45845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45845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45845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45845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45845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45845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45845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45845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45845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45845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45845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45845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45845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45845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45845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45845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45845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45845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45845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45845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45845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45845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45845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45845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45845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45845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45845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45845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45845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45845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45845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45845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45845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45845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45845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45845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45845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45845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45845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45845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45845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45845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45845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45845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45845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45845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45845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45845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45845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45845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45845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45845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45845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45845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45845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45845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45845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45845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29124-2023</t>
        </is>
      </c>
      <c r="B390" s="1" t="n">
        <v>45105</v>
      </c>
      <c r="C390" s="1" t="n">
        <v>45845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29780-2023</t>
        </is>
      </c>
      <c r="B391" s="1" t="n">
        <v>45107</v>
      </c>
      <c r="C391" s="1" t="n">
        <v>45845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29804-2023</t>
        </is>
      </c>
      <c r="B392" s="1" t="n">
        <v>45107</v>
      </c>
      <c r="C392" s="1" t="n">
        <v>45845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27.1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29863-2023</t>
        </is>
      </c>
      <c r="B393" s="1" t="n">
        <v>45107</v>
      </c>
      <c r="C393" s="1" t="n">
        <v>45845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29798-2023</t>
        </is>
      </c>
      <c r="B394" s="1" t="n">
        <v>45107</v>
      </c>
      <c r="C394" s="1" t="n">
        <v>45845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29806-2023</t>
        </is>
      </c>
      <c r="B395" s="1" t="n">
        <v>45107</v>
      </c>
      <c r="C395" s="1" t="n">
        <v>45845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29776-2023</t>
        </is>
      </c>
      <c r="B396" s="1" t="n">
        <v>45107</v>
      </c>
      <c r="C396" s="1" t="n">
        <v>45845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29783-2023</t>
        </is>
      </c>
      <c r="B397" s="1" t="n">
        <v>45107</v>
      </c>
      <c r="C397" s="1" t="n">
        <v>45845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29937-2023</t>
        </is>
      </c>
      <c r="B398" s="1" t="n">
        <v>45108</v>
      </c>
      <c r="C398" s="1" t="n">
        <v>45845</v>
      </c>
      <c r="D398" t="inlineStr">
        <is>
          <t>VÄSTERBOTTENS LÄN</t>
        </is>
      </c>
      <c r="E398" t="inlineStr">
        <is>
          <t>NORSJÖ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29938-2023</t>
        </is>
      </c>
      <c r="B399" s="1" t="n">
        <v>45108</v>
      </c>
      <c r="C399" s="1" t="n">
        <v>45845</v>
      </c>
      <c r="D399" t="inlineStr">
        <is>
          <t>VÄSTERBOTTENS LÄN</t>
        </is>
      </c>
      <c r="E399" t="inlineStr">
        <is>
          <t>NORSJÖ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31281-2023</t>
        </is>
      </c>
      <c r="B400" s="1" t="n">
        <v>45114</v>
      </c>
      <c r="C400" s="1" t="n">
        <v>45845</v>
      </c>
      <c r="D400" t="inlineStr">
        <is>
          <t>VÄSTERBOTTENS LÄN</t>
        </is>
      </c>
      <c r="E400" t="inlineStr">
        <is>
          <t>NORSJÖ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31450-2023</t>
        </is>
      </c>
      <c r="B401" s="1" t="n">
        <v>45114</v>
      </c>
      <c r="C401" s="1" t="n">
        <v>45845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31513-2023</t>
        </is>
      </c>
      <c r="B402" s="1" t="n">
        <v>45116</v>
      </c>
      <c r="C402" s="1" t="n">
        <v>45845</v>
      </c>
      <c r="D402" t="inlineStr">
        <is>
          <t>VÄSTERBOTTENS LÄN</t>
        </is>
      </c>
      <c r="E402" t="inlineStr">
        <is>
          <t>NORSJÖ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31574-2023</t>
        </is>
      </c>
      <c r="B403" s="1" t="n">
        <v>45117</v>
      </c>
      <c r="C403" s="1" t="n">
        <v>45845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31591-2023</t>
        </is>
      </c>
      <c r="B404" s="1" t="n">
        <v>45117</v>
      </c>
      <c r="C404" s="1" t="n">
        <v>45845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31554-2023</t>
        </is>
      </c>
      <c r="B405" s="1" t="n">
        <v>45117</v>
      </c>
      <c r="C405" s="1" t="n">
        <v>45845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31669-2023</t>
        </is>
      </c>
      <c r="B406" s="1" t="n">
        <v>45117</v>
      </c>
      <c r="C406" s="1" t="n">
        <v>45845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31606-2023</t>
        </is>
      </c>
      <c r="B407" s="1" t="n">
        <v>45117</v>
      </c>
      <c r="C407" s="1" t="n">
        <v>45845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31633-2023</t>
        </is>
      </c>
      <c r="B408" s="1" t="n">
        <v>45117</v>
      </c>
      <c r="C408" s="1" t="n">
        <v>45845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32094-2023</t>
        </is>
      </c>
      <c r="B409" s="1" t="n">
        <v>45119</v>
      </c>
      <c r="C409" s="1" t="n">
        <v>45845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32288-2023</t>
        </is>
      </c>
      <c r="B410" s="1" t="n">
        <v>45120</v>
      </c>
      <c r="C410" s="1" t="n">
        <v>45845</v>
      </c>
      <c r="D410" t="inlineStr">
        <is>
          <t>VÄSTERBOTTENS LÄN</t>
        </is>
      </c>
      <c r="E410" t="inlineStr">
        <is>
          <t>NORSJÖ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32267-2023</t>
        </is>
      </c>
      <c r="B411" s="1" t="n">
        <v>45120</v>
      </c>
      <c r="C411" s="1" t="n">
        <v>45845</v>
      </c>
      <c r="D411" t="inlineStr">
        <is>
          <t>VÄSTERBOTTENS LÄN</t>
        </is>
      </c>
      <c r="E411" t="inlineStr">
        <is>
          <t>NORSJÖ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33524-2023</t>
        </is>
      </c>
      <c r="B412" s="1" t="n">
        <v>45131</v>
      </c>
      <c r="C412" s="1" t="n">
        <v>45845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33623-2023</t>
        </is>
      </c>
      <c r="B413" s="1" t="n">
        <v>45132</v>
      </c>
      <c r="C413" s="1" t="n">
        <v>45845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33837-2023</t>
        </is>
      </c>
      <c r="B414" s="1" t="n">
        <v>45133</v>
      </c>
      <c r="C414" s="1" t="n">
        <v>45845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34022-2023</t>
        </is>
      </c>
      <c r="B415" s="1" t="n">
        <v>45135</v>
      </c>
      <c r="C415" s="1" t="n">
        <v>45845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34340-2023</t>
        </is>
      </c>
      <c r="B416" s="1" t="n">
        <v>45139</v>
      </c>
      <c r="C416" s="1" t="n">
        <v>45845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34416-2023</t>
        </is>
      </c>
      <c r="B417" s="1" t="n">
        <v>45139</v>
      </c>
      <c r="C417" s="1" t="n">
        <v>45845</v>
      </c>
      <c r="D417" t="inlineStr">
        <is>
          <t>VÄSTERBOTTENS LÄN</t>
        </is>
      </c>
      <c r="E417" t="inlineStr">
        <is>
          <t>NORSJÖ</t>
        </is>
      </c>
      <c r="F417" t="inlineStr">
        <is>
          <t>Sveaskog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34506-2023</t>
        </is>
      </c>
      <c r="B418" s="1" t="n">
        <v>45140</v>
      </c>
      <c r="C418" s="1" t="n">
        <v>45845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34505-2023</t>
        </is>
      </c>
      <c r="B419" s="1" t="n">
        <v>45140</v>
      </c>
      <c r="C419" s="1" t="n">
        <v>45845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34677-2023</t>
        </is>
      </c>
      <c r="B420" s="1" t="n">
        <v>45141</v>
      </c>
      <c r="C420" s="1" t="n">
        <v>45845</v>
      </c>
      <c r="D420" t="inlineStr">
        <is>
          <t>VÄSTERBOTTENS LÄN</t>
        </is>
      </c>
      <c r="E420" t="inlineStr">
        <is>
          <t>NORSJÖ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34681-2023</t>
        </is>
      </c>
      <c r="B421" s="1" t="n">
        <v>45141</v>
      </c>
      <c r="C421" s="1" t="n">
        <v>45845</v>
      </c>
      <c r="D421" t="inlineStr">
        <is>
          <t>VÄSTERBOTTENS LÄN</t>
        </is>
      </c>
      <c r="E421" t="inlineStr">
        <is>
          <t>NORSJÖ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34515-2023</t>
        </is>
      </c>
      <c r="B422" s="1" t="n">
        <v>45140</v>
      </c>
      <c r="C422" s="1" t="n">
        <v>45845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34683-2023</t>
        </is>
      </c>
      <c r="B423" s="1" t="n">
        <v>45141</v>
      </c>
      <c r="C423" s="1" t="n">
        <v>45845</v>
      </c>
      <c r="D423" t="inlineStr">
        <is>
          <t>VÄSTERBOTTENS LÄN</t>
        </is>
      </c>
      <c r="E423" t="inlineStr">
        <is>
          <t>NORSJÖ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34654-2023</t>
        </is>
      </c>
      <c r="B424" s="1" t="n">
        <v>45140</v>
      </c>
      <c r="C424" s="1" t="n">
        <v>45845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34682-2023</t>
        </is>
      </c>
      <c r="B425" s="1" t="n">
        <v>45141</v>
      </c>
      <c r="C425" s="1" t="n">
        <v>45845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34642-2023</t>
        </is>
      </c>
      <c r="B426" s="1" t="n">
        <v>45140</v>
      </c>
      <c r="C426" s="1" t="n">
        <v>45845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35159-2023</t>
        </is>
      </c>
      <c r="B427" s="1" t="n">
        <v>45145</v>
      </c>
      <c r="C427" s="1" t="n">
        <v>45845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35252-2023</t>
        </is>
      </c>
      <c r="B428" s="1" t="n">
        <v>45145</v>
      </c>
      <c r="C428" s="1" t="n">
        <v>45845</v>
      </c>
      <c r="D428" t="inlineStr">
        <is>
          <t>VÄSTERBOTTENS LÄN</t>
        </is>
      </c>
      <c r="E428" t="inlineStr">
        <is>
          <t>NORSJÖ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35253-2023</t>
        </is>
      </c>
      <c r="B429" s="1" t="n">
        <v>45146</v>
      </c>
      <c r="C429" s="1" t="n">
        <v>45845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35630-2023</t>
        </is>
      </c>
      <c r="B430" s="1" t="n">
        <v>45147</v>
      </c>
      <c r="C430" s="1" t="n">
        <v>45845</v>
      </c>
      <c r="D430" t="inlineStr">
        <is>
          <t>VÄSTERBOTTENS LÄN</t>
        </is>
      </c>
      <c r="E430" t="inlineStr">
        <is>
          <t>NORSJÖ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35632-2023</t>
        </is>
      </c>
      <c r="B431" s="1" t="n">
        <v>45147</v>
      </c>
      <c r="C431" s="1" t="n">
        <v>45845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35871-2023</t>
        </is>
      </c>
      <c r="B432" s="1" t="n">
        <v>45147</v>
      </c>
      <c r="C432" s="1" t="n">
        <v>45845</v>
      </c>
      <c r="D432" t="inlineStr">
        <is>
          <t>VÄSTERBOTTENS LÄN</t>
        </is>
      </c>
      <c r="E432" t="inlineStr">
        <is>
          <t>NORSJÖ</t>
        </is>
      </c>
      <c r="G432" t="n">
        <v>33.4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35999-2023</t>
        </is>
      </c>
      <c r="B433" s="1" t="n">
        <v>45149</v>
      </c>
      <c r="C433" s="1" t="n">
        <v>45845</v>
      </c>
      <c r="D433" t="inlineStr">
        <is>
          <t>VÄSTERBOTTENS LÄN</t>
        </is>
      </c>
      <c r="E433" t="inlineStr">
        <is>
          <t>NORSJÖ</t>
        </is>
      </c>
      <c r="G433" t="n">
        <v>19.8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36002-2023</t>
        </is>
      </c>
      <c r="B434" s="1" t="n">
        <v>45149</v>
      </c>
      <c r="C434" s="1" t="n">
        <v>45845</v>
      </c>
      <c r="D434" t="inlineStr">
        <is>
          <t>VÄSTERBOTTENS LÄN</t>
        </is>
      </c>
      <c r="E434" t="inlineStr">
        <is>
          <t>NORSJÖ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36474-2023</t>
        </is>
      </c>
      <c r="B435" s="1" t="n">
        <v>45152</v>
      </c>
      <c r="C435" s="1" t="n">
        <v>45845</v>
      </c>
      <c r="D435" t="inlineStr">
        <is>
          <t>VÄSTERBOTTENS LÄN</t>
        </is>
      </c>
      <c r="E435" t="inlineStr">
        <is>
          <t>NORSJÖ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36842-2023</t>
        </is>
      </c>
      <c r="B436" s="1" t="n">
        <v>45154</v>
      </c>
      <c r="C436" s="1" t="n">
        <v>45845</v>
      </c>
      <c r="D436" t="inlineStr">
        <is>
          <t>VÄSTERBOTTENS LÄN</t>
        </is>
      </c>
      <c r="E436" t="inlineStr">
        <is>
          <t>NORSJÖ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36838-2023</t>
        </is>
      </c>
      <c r="B437" s="1" t="n">
        <v>45154</v>
      </c>
      <c r="C437" s="1" t="n">
        <v>45845</v>
      </c>
      <c r="D437" t="inlineStr">
        <is>
          <t>VÄSTERBOTTENS LÄN</t>
        </is>
      </c>
      <c r="E437" t="inlineStr">
        <is>
          <t>NORSJÖ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37042-2023</t>
        </is>
      </c>
      <c r="B438" s="1" t="n">
        <v>45155</v>
      </c>
      <c r="C438" s="1" t="n">
        <v>45845</v>
      </c>
      <c r="D438" t="inlineStr">
        <is>
          <t>VÄSTERBOTTENS LÄN</t>
        </is>
      </c>
      <c r="E438" t="inlineStr">
        <is>
          <t>NORSJÖ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37057-2023</t>
        </is>
      </c>
      <c r="B439" s="1" t="n">
        <v>45155</v>
      </c>
      <c r="C439" s="1" t="n">
        <v>45845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37012-2023</t>
        </is>
      </c>
      <c r="B440" s="1" t="n">
        <v>45155</v>
      </c>
      <c r="C440" s="1" t="n">
        <v>45845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37100-2023</t>
        </is>
      </c>
      <c r="B441" s="1" t="n">
        <v>45155</v>
      </c>
      <c r="C441" s="1" t="n">
        <v>45845</v>
      </c>
      <c r="D441" t="inlineStr">
        <is>
          <t>VÄSTERBOTTENS LÄN</t>
        </is>
      </c>
      <c r="E441" t="inlineStr">
        <is>
          <t>NORSJÖ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37053-2023</t>
        </is>
      </c>
      <c r="B442" s="1" t="n">
        <v>45155</v>
      </c>
      <c r="C442" s="1" t="n">
        <v>45845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37228-2023</t>
        </is>
      </c>
      <c r="B443" s="1" t="n">
        <v>45156</v>
      </c>
      <c r="C443" s="1" t="n">
        <v>45845</v>
      </c>
      <c r="D443" t="inlineStr">
        <is>
          <t>VÄSTERBOTTENS LÄN</t>
        </is>
      </c>
      <c r="E443" t="inlineStr">
        <is>
          <t>NORSJÖ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37232-2023</t>
        </is>
      </c>
      <c r="B444" s="1" t="n">
        <v>45155</v>
      </c>
      <c r="C444" s="1" t="n">
        <v>45845</v>
      </c>
      <c r="D444" t="inlineStr">
        <is>
          <t>VÄSTERBOTTENS LÄN</t>
        </is>
      </c>
      <c r="E444" t="inlineStr">
        <is>
          <t>NORSJÖ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37230-2023</t>
        </is>
      </c>
      <c r="B445" s="1" t="n">
        <v>45156</v>
      </c>
      <c r="C445" s="1" t="n">
        <v>45845</v>
      </c>
      <c r="D445" t="inlineStr">
        <is>
          <t>VÄSTERBOTTENS LÄN</t>
        </is>
      </c>
      <c r="E445" t="inlineStr">
        <is>
          <t>NORSJÖ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37231-2023</t>
        </is>
      </c>
      <c r="B446" s="1" t="n">
        <v>45155</v>
      </c>
      <c r="C446" s="1" t="n">
        <v>45845</v>
      </c>
      <c r="D446" t="inlineStr">
        <is>
          <t>VÄSTERBOTTENS LÄN</t>
        </is>
      </c>
      <c r="E446" t="inlineStr">
        <is>
          <t>NORSJÖ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37463-2023</t>
        </is>
      </c>
      <c r="B447" s="1" t="n">
        <v>45156</v>
      </c>
      <c r="C447" s="1" t="n">
        <v>45845</v>
      </c>
      <c r="D447" t="inlineStr">
        <is>
          <t>VÄSTERBOTTENS LÄN</t>
        </is>
      </c>
      <c r="E447" t="inlineStr">
        <is>
          <t>NORSJÖ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37467-2023</t>
        </is>
      </c>
      <c r="B448" s="1" t="n">
        <v>45156</v>
      </c>
      <c r="C448" s="1" t="n">
        <v>45845</v>
      </c>
      <c r="D448" t="inlineStr">
        <is>
          <t>VÄSTERBOTTENS LÄN</t>
        </is>
      </c>
      <c r="E448" t="inlineStr">
        <is>
          <t>NORSJÖ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37475-2023</t>
        </is>
      </c>
      <c r="B449" s="1" t="n">
        <v>45156</v>
      </c>
      <c r="C449" s="1" t="n">
        <v>45845</v>
      </c>
      <c r="D449" t="inlineStr">
        <is>
          <t>VÄSTERBOTTENS LÄN</t>
        </is>
      </c>
      <c r="E449" t="inlineStr">
        <is>
          <t>NORSJÖ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37449-2023</t>
        </is>
      </c>
      <c r="B450" s="1" t="n">
        <v>45156</v>
      </c>
      <c r="C450" s="1" t="n">
        <v>45845</v>
      </c>
      <c r="D450" t="inlineStr">
        <is>
          <t>VÄSTERBOTTENS LÄN</t>
        </is>
      </c>
      <c r="E450" t="inlineStr">
        <is>
          <t>NORSJÖ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37465-2023</t>
        </is>
      </c>
      <c r="B451" s="1" t="n">
        <v>45156</v>
      </c>
      <c r="C451" s="1" t="n">
        <v>45845</v>
      </c>
      <c r="D451" t="inlineStr">
        <is>
          <t>VÄSTERBOTTENS LÄN</t>
        </is>
      </c>
      <c r="E451" t="inlineStr">
        <is>
          <t>NORSJÖ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37473-2023</t>
        </is>
      </c>
      <c r="B452" s="1" t="n">
        <v>45156</v>
      </c>
      <c r="C452" s="1" t="n">
        <v>45845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37450-2023</t>
        </is>
      </c>
      <c r="B453" s="1" t="n">
        <v>45156</v>
      </c>
      <c r="C453" s="1" t="n">
        <v>45845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37466-2023</t>
        </is>
      </c>
      <c r="B454" s="1" t="n">
        <v>45156</v>
      </c>
      <c r="C454" s="1" t="n">
        <v>45845</v>
      </c>
      <c r="D454" t="inlineStr">
        <is>
          <t>VÄSTERBOTTENS LÄN</t>
        </is>
      </c>
      <c r="E454" t="inlineStr">
        <is>
          <t>NORSJÖ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37841-2023</t>
        </is>
      </c>
      <c r="B455" s="1" t="n">
        <v>45156</v>
      </c>
      <c r="C455" s="1" t="n">
        <v>45845</v>
      </c>
      <c r="D455" t="inlineStr">
        <is>
          <t>VÄSTERBOTTENS LÄN</t>
        </is>
      </c>
      <c r="E455" t="inlineStr">
        <is>
          <t>NORSJÖ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37496-2023</t>
        </is>
      </c>
      <c r="B456" s="1" t="n">
        <v>45157</v>
      </c>
      <c r="C456" s="1" t="n">
        <v>45845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37498-2023</t>
        </is>
      </c>
      <c r="B457" s="1" t="n">
        <v>45157</v>
      </c>
      <c r="C457" s="1" t="n">
        <v>45845</v>
      </c>
      <c r="D457" t="inlineStr">
        <is>
          <t>VÄSTERBOTTENS LÄN</t>
        </is>
      </c>
      <c r="E457" t="inlineStr">
        <is>
          <t>NORSJÖ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37550-2023</t>
        </is>
      </c>
      <c r="B458" s="1" t="n">
        <v>45159</v>
      </c>
      <c r="C458" s="1" t="n">
        <v>45845</v>
      </c>
      <c r="D458" t="inlineStr">
        <is>
          <t>VÄSTERBOTTENS LÄN</t>
        </is>
      </c>
      <c r="E458" t="inlineStr">
        <is>
          <t>NORSJÖ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37562-2023</t>
        </is>
      </c>
      <c r="B459" s="1" t="n">
        <v>45159</v>
      </c>
      <c r="C459" s="1" t="n">
        <v>45845</v>
      </c>
      <c r="D459" t="inlineStr">
        <is>
          <t>VÄSTERBOTTENS LÄN</t>
        </is>
      </c>
      <c r="E459" t="inlineStr">
        <is>
          <t>NORSJÖ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37613-2023</t>
        </is>
      </c>
      <c r="B460" s="1" t="n">
        <v>45159</v>
      </c>
      <c r="C460" s="1" t="n">
        <v>45845</v>
      </c>
      <c r="D460" t="inlineStr">
        <is>
          <t>VÄSTERBOTTENS LÄN</t>
        </is>
      </c>
      <c r="E460" t="inlineStr">
        <is>
          <t>NORSJÖ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37732-2023</t>
        </is>
      </c>
      <c r="B461" s="1" t="n">
        <v>45159</v>
      </c>
      <c r="C461" s="1" t="n">
        <v>45845</v>
      </c>
      <c r="D461" t="inlineStr">
        <is>
          <t>VÄSTERBOTTENS LÄN</t>
        </is>
      </c>
      <c r="E461" t="inlineStr">
        <is>
          <t>NORSJÖ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37756-2023</t>
        </is>
      </c>
      <c r="B462" s="1" t="n">
        <v>45159</v>
      </c>
      <c r="C462" s="1" t="n">
        <v>45845</v>
      </c>
      <c r="D462" t="inlineStr">
        <is>
          <t>VÄSTERBOTTENS LÄN</t>
        </is>
      </c>
      <c r="E462" t="inlineStr">
        <is>
          <t>NORSJÖ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37766-2023</t>
        </is>
      </c>
      <c r="B463" s="1" t="n">
        <v>45159</v>
      </c>
      <c r="C463" s="1" t="n">
        <v>45845</v>
      </c>
      <c r="D463" t="inlineStr">
        <is>
          <t>VÄSTERBOTTENS LÄN</t>
        </is>
      </c>
      <c r="E463" t="inlineStr">
        <is>
          <t>NORSJÖ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37794-2023</t>
        </is>
      </c>
      <c r="B464" s="1" t="n">
        <v>45159</v>
      </c>
      <c r="C464" s="1" t="n">
        <v>45845</v>
      </c>
      <c r="D464" t="inlineStr">
        <is>
          <t>VÄSTERBOTTENS LÄN</t>
        </is>
      </c>
      <c r="E464" t="inlineStr">
        <is>
          <t>NORSJÖ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38081-2023</t>
        </is>
      </c>
      <c r="B465" s="1" t="n">
        <v>45160</v>
      </c>
      <c r="C465" s="1" t="n">
        <v>45845</v>
      </c>
      <c r="D465" t="inlineStr">
        <is>
          <t>VÄSTERBOTTENS LÄN</t>
        </is>
      </c>
      <c r="E465" t="inlineStr">
        <is>
          <t>NORSJÖ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38080-2023</t>
        </is>
      </c>
      <c r="B466" s="1" t="n">
        <v>45160</v>
      </c>
      <c r="C466" s="1" t="n">
        <v>45845</v>
      </c>
      <c r="D466" t="inlineStr">
        <is>
          <t>VÄSTERBOTTENS LÄN</t>
        </is>
      </c>
      <c r="E466" t="inlineStr">
        <is>
          <t>NORSJÖ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38082-2023</t>
        </is>
      </c>
      <c r="B467" s="1" t="n">
        <v>45160</v>
      </c>
      <c r="C467" s="1" t="n">
        <v>45845</v>
      </c>
      <c r="D467" t="inlineStr">
        <is>
          <t>VÄSTERBOTTENS LÄN</t>
        </is>
      </c>
      <c r="E467" t="inlineStr">
        <is>
          <t>NORSJÖ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40997-2023</t>
        </is>
      </c>
      <c r="B468" s="1" t="n">
        <v>45161</v>
      </c>
      <c r="C468" s="1" t="n">
        <v>45845</v>
      </c>
      <c r="D468" t="inlineStr">
        <is>
          <t>VÄSTERBOTTENS LÄN</t>
        </is>
      </c>
      <c r="E468" t="inlineStr">
        <is>
          <t>NORSJÖ</t>
        </is>
      </c>
      <c r="G468" t="n">
        <v>14.1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41003-2023</t>
        </is>
      </c>
      <c r="B469" s="1" t="n">
        <v>45161</v>
      </c>
      <c r="C469" s="1" t="n">
        <v>45845</v>
      </c>
      <c r="D469" t="inlineStr">
        <is>
          <t>VÄSTERBOTTENS LÄN</t>
        </is>
      </c>
      <c r="E469" t="inlineStr">
        <is>
          <t>NORSJÖ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38200-2023</t>
        </is>
      </c>
      <c r="B470" s="1" t="n">
        <v>45161</v>
      </c>
      <c r="C470" s="1" t="n">
        <v>45845</v>
      </c>
      <c r="D470" t="inlineStr">
        <is>
          <t>VÄSTERBOTTENS LÄN</t>
        </is>
      </c>
      <c r="E470" t="inlineStr">
        <is>
          <t>NORSJÖ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38195-2023</t>
        </is>
      </c>
      <c r="B471" s="1" t="n">
        <v>45161</v>
      </c>
      <c r="C471" s="1" t="n">
        <v>45845</v>
      </c>
      <c r="D471" t="inlineStr">
        <is>
          <t>VÄSTERBOTTENS LÄN</t>
        </is>
      </c>
      <c r="E471" t="inlineStr">
        <is>
          <t>NORSJÖ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38272-2023</t>
        </is>
      </c>
      <c r="B472" s="1" t="n">
        <v>45161</v>
      </c>
      <c r="C472" s="1" t="n">
        <v>45845</v>
      </c>
      <c r="D472" t="inlineStr">
        <is>
          <t>VÄSTERBOTTENS LÄN</t>
        </is>
      </c>
      <c r="E472" t="inlineStr">
        <is>
          <t>NORSJÖ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41005-2023</t>
        </is>
      </c>
      <c r="B473" s="1" t="n">
        <v>45161</v>
      </c>
      <c r="C473" s="1" t="n">
        <v>45845</v>
      </c>
      <c r="D473" t="inlineStr">
        <is>
          <t>VÄSTERBOTTENS LÄN</t>
        </is>
      </c>
      <c r="E473" t="inlineStr">
        <is>
          <t>NORSJÖ</t>
        </is>
      </c>
      <c r="G473" t="n">
        <v>12.7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38808-2023</t>
        </is>
      </c>
      <c r="B474" s="1" t="n">
        <v>45161</v>
      </c>
      <c r="C474" s="1" t="n">
        <v>45845</v>
      </c>
      <c r="D474" t="inlineStr">
        <is>
          <t>VÄSTERBOTTENS LÄN</t>
        </is>
      </c>
      <c r="E474" t="inlineStr">
        <is>
          <t>NORSJÖ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39337-2023</t>
        </is>
      </c>
      <c r="B475" s="1" t="n">
        <v>45162</v>
      </c>
      <c r="C475" s="1" t="n">
        <v>45845</v>
      </c>
      <c r="D475" t="inlineStr">
        <is>
          <t>VÄSTERBOTTENS LÄN</t>
        </is>
      </c>
      <c r="E475" t="inlineStr">
        <is>
          <t>NORSJÖ</t>
        </is>
      </c>
      <c r="G475" t="n">
        <v>9.800000000000001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39350-2023</t>
        </is>
      </c>
      <c r="B476" s="1" t="n">
        <v>45162</v>
      </c>
      <c r="C476" s="1" t="n">
        <v>45845</v>
      </c>
      <c r="D476" t="inlineStr">
        <is>
          <t>VÄSTERBOTTENS LÄN</t>
        </is>
      </c>
      <c r="E476" t="inlineStr">
        <is>
          <t>NORSJÖ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38672-2023</t>
        </is>
      </c>
      <c r="B477" s="1" t="n">
        <v>45162</v>
      </c>
      <c r="C477" s="1" t="n">
        <v>45845</v>
      </c>
      <c r="D477" t="inlineStr">
        <is>
          <t>VÄSTERBOTTENS LÄN</t>
        </is>
      </c>
      <c r="E477" t="inlineStr">
        <is>
          <t>NORSJÖ</t>
        </is>
      </c>
      <c r="G477" t="n">
        <v>65.8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38671-2023</t>
        </is>
      </c>
      <c r="B478" s="1" t="n">
        <v>45162</v>
      </c>
      <c r="C478" s="1" t="n">
        <v>45845</v>
      </c>
      <c r="D478" t="inlineStr">
        <is>
          <t>VÄSTERBOTTENS LÄN</t>
        </is>
      </c>
      <c r="E478" t="inlineStr">
        <is>
          <t>NORSJÖ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38822-2023</t>
        </is>
      </c>
      <c r="B479" s="1" t="n">
        <v>45163</v>
      </c>
      <c r="C479" s="1" t="n">
        <v>45845</v>
      </c>
      <c r="D479" t="inlineStr">
        <is>
          <t>VÄSTERBOTTENS LÄN</t>
        </is>
      </c>
      <c r="E479" t="inlineStr">
        <is>
          <t>NORSJÖ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38832-2023</t>
        </is>
      </c>
      <c r="B480" s="1" t="n">
        <v>45163</v>
      </c>
      <c r="C480" s="1" t="n">
        <v>45845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20.7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38853-2023</t>
        </is>
      </c>
      <c r="B481" s="1" t="n">
        <v>45163</v>
      </c>
      <c r="C481" s="1" t="n">
        <v>45845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39041-2023</t>
        </is>
      </c>
      <c r="B482" s="1" t="n">
        <v>45164</v>
      </c>
      <c r="C482" s="1" t="n">
        <v>45845</v>
      </c>
      <c r="D482" t="inlineStr">
        <is>
          <t>VÄSTERBOTTENS LÄN</t>
        </is>
      </c>
      <c r="E482" t="inlineStr">
        <is>
          <t>NORSJÖ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38819-2023</t>
        </is>
      </c>
      <c r="B483" s="1" t="n">
        <v>45163</v>
      </c>
      <c r="C483" s="1" t="n">
        <v>45845</v>
      </c>
      <c r="D483" t="inlineStr">
        <is>
          <t>VÄSTERBOTTENS LÄN</t>
        </is>
      </c>
      <c r="E483" t="inlineStr">
        <is>
          <t>NORSJÖ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38824-2023</t>
        </is>
      </c>
      <c r="B484" s="1" t="n">
        <v>45163</v>
      </c>
      <c r="C484" s="1" t="n">
        <v>45845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38843-2023</t>
        </is>
      </c>
      <c r="B485" s="1" t="n">
        <v>45163</v>
      </c>
      <c r="C485" s="1" t="n">
        <v>45845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38828-2023</t>
        </is>
      </c>
      <c r="B486" s="1" t="n">
        <v>45163</v>
      </c>
      <c r="C486" s="1" t="n">
        <v>45845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39049-2023</t>
        </is>
      </c>
      <c r="B487" s="1" t="n">
        <v>45163</v>
      </c>
      <c r="C487" s="1" t="n">
        <v>45845</v>
      </c>
      <c r="D487" t="inlineStr">
        <is>
          <t>VÄSTERBOTTENS LÄN</t>
        </is>
      </c>
      <c r="E487" t="inlineStr">
        <is>
          <t>NORSJÖ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38861-2023</t>
        </is>
      </c>
      <c r="B488" s="1" t="n">
        <v>45163</v>
      </c>
      <c r="C488" s="1" t="n">
        <v>45845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38990-2023</t>
        </is>
      </c>
      <c r="B489" s="1" t="n">
        <v>45163</v>
      </c>
      <c r="C489" s="1" t="n">
        <v>45845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38994-2023</t>
        </is>
      </c>
      <c r="B490" s="1" t="n">
        <v>45163</v>
      </c>
      <c r="C490" s="1" t="n">
        <v>45845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39042-2023</t>
        </is>
      </c>
      <c r="B491" s="1" t="n">
        <v>45164</v>
      </c>
      <c r="C491" s="1" t="n">
        <v>45845</v>
      </c>
      <c r="D491" t="inlineStr">
        <is>
          <t>VÄSTERBOTTENS LÄN</t>
        </is>
      </c>
      <c r="E491" t="inlineStr">
        <is>
          <t>NORSJÖ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39050-2023</t>
        </is>
      </c>
      <c r="B492" s="1" t="n">
        <v>45163</v>
      </c>
      <c r="C492" s="1" t="n">
        <v>45845</v>
      </c>
      <c r="D492" t="inlineStr">
        <is>
          <t>VÄSTERBOTTENS LÄN</t>
        </is>
      </c>
      <c r="E492" t="inlineStr">
        <is>
          <t>NORSJÖ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38835-2023</t>
        </is>
      </c>
      <c r="B493" s="1" t="n">
        <v>45163</v>
      </c>
      <c r="C493" s="1" t="n">
        <v>45845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24.3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38839-2023</t>
        </is>
      </c>
      <c r="B494" s="1" t="n">
        <v>45163</v>
      </c>
      <c r="C494" s="1" t="n">
        <v>45845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38848-2023</t>
        </is>
      </c>
      <c r="B495" s="1" t="n">
        <v>45163</v>
      </c>
      <c r="C495" s="1" t="n">
        <v>45845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38796-2023</t>
        </is>
      </c>
      <c r="B496" s="1" t="n">
        <v>45163</v>
      </c>
      <c r="C496" s="1" t="n">
        <v>45845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38776-2023</t>
        </is>
      </c>
      <c r="B497" s="1" t="n">
        <v>45163</v>
      </c>
      <c r="C497" s="1" t="n">
        <v>45845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38792-2023</t>
        </is>
      </c>
      <c r="B498" s="1" t="n">
        <v>45163</v>
      </c>
      <c r="C498" s="1" t="n">
        <v>45845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38798-2023</t>
        </is>
      </c>
      <c r="B499" s="1" t="n">
        <v>45163</v>
      </c>
      <c r="C499" s="1" t="n">
        <v>45845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38812-2023</t>
        </is>
      </c>
      <c r="B500" s="1" t="n">
        <v>45163</v>
      </c>
      <c r="C500" s="1" t="n">
        <v>45845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38816-2023</t>
        </is>
      </c>
      <c r="B501" s="1" t="n">
        <v>45163</v>
      </c>
      <c r="C501" s="1" t="n">
        <v>45845</v>
      </c>
      <c r="D501" t="inlineStr">
        <is>
          <t>VÄSTERBOTTENS LÄN</t>
        </is>
      </c>
      <c r="E501" t="inlineStr">
        <is>
          <t>NORSJÖ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38814-2023</t>
        </is>
      </c>
      <c r="B502" s="1" t="n">
        <v>45163</v>
      </c>
      <c r="C502" s="1" t="n">
        <v>45845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38782-2023</t>
        </is>
      </c>
      <c r="B503" s="1" t="n">
        <v>45163</v>
      </c>
      <c r="C503" s="1" t="n">
        <v>45845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38810-2023</t>
        </is>
      </c>
      <c r="B504" s="1" t="n">
        <v>45163</v>
      </c>
      <c r="C504" s="1" t="n">
        <v>45845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38815-2023</t>
        </is>
      </c>
      <c r="B505" s="1" t="n">
        <v>45163</v>
      </c>
      <c r="C505" s="1" t="n">
        <v>45845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38801-2023</t>
        </is>
      </c>
      <c r="B506" s="1" t="n">
        <v>45163</v>
      </c>
      <c r="C506" s="1" t="n">
        <v>45845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21.3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39280-2023</t>
        </is>
      </c>
      <c r="B507" s="1" t="n">
        <v>45166</v>
      </c>
      <c r="C507" s="1" t="n">
        <v>45845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39353-2023</t>
        </is>
      </c>
      <c r="B508" s="1" t="n">
        <v>45166</v>
      </c>
      <c r="C508" s="1" t="n">
        <v>45845</v>
      </c>
      <c r="D508" t="inlineStr">
        <is>
          <t>VÄSTERBOTTENS LÄN</t>
        </is>
      </c>
      <c r="E508" t="inlineStr">
        <is>
          <t>NORSJÖ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39365-2023</t>
        </is>
      </c>
      <c r="B509" s="1" t="n">
        <v>45166</v>
      </c>
      <c r="C509" s="1" t="n">
        <v>45845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39262-2023</t>
        </is>
      </c>
      <c r="B510" s="1" t="n">
        <v>45166</v>
      </c>
      <c r="C510" s="1" t="n">
        <v>45845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39483-2023</t>
        </is>
      </c>
      <c r="B511" s="1" t="n">
        <v>45166</v>
      </c>
      <c r="C511" s="1" t="n">
        <v>45845</v>
      </c>
      <c r="D511" t="inlineStr">
        <is>
          <t>VÄSTERBOTTENS LÄN</t>
        </is>
      </c>
      <c r="E511" t="inlineStr">
        <is>
          <t>NORSJÖ</t>
        </is>
      </c>
      <c r="G511" t="n">
        <v>18.5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39507-2023</t>
        </is>
      </c>
      <c r="B512" s="1" t="n">
        <v>45167</v>
      </c>
      <c r="C512" s="1" t="n">
        <v>45845</v>
      </c>
      <c r="D512" t="inlineStr">
        <is>
          <t>VÄSTERBOTTENS LÄN</t>
        </is>
      </c>
      <c r="E512" t="inlineStr">
        <is>
          <t>NORSJÖ</t>
        </is>
      </c>
      <c r="F512" t="inlineStr">
        <is>
          <t>Övriga Aktiebolag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39783-2023</t>
        </is>
      </c>
      <c r="B513" s="1" t="n">
        <v>45167</v>
      </c>
      <c r="C513" s="1" t="n">
        <v>45845</v>
      </c>
      <c r="D513" t="inlineStr">
        <is>
          <t>VÄSTERBOTTENS LÄN</t>
        </is>
      </c>
      <c r="E513" t="inlineStr">
        <is>
          <t>NORSJÖ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39785-2023</t>
        </is>
      </c>
      <c r="B514" s="1" t="n">
        <v>45168</v>
      </c>
      <c r="C514" s="1" t="n">
        <v>45845</v>
      </c>
      <c r="D514" t="inlineStr">
        <is>
          <t>VÄSTERBOTTENS LÄN</t>
        </is>
      </c>
      <c r="E514" t="inlineStr">
        <is>
          <t>NORSJÖ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39784-2023</t>
        </is>
      </c>
      <c r="B515" s="1" t="n">
        <v>45167</v>
      </c>
      <c r="C515" s="1" t="n">
        <v>45845</v>
      </c>
      <c r="D515" t="inlineStr">
        <is>
          <t>VÄSTERBOTTENS LÄN</t>
        </is>
      </c>
      <c r="E515" t="inlineStr">
        <is>
          <t>NORSJÖ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39804-2023</t>
        </is>
      </c>
      <c r="B516" s="1" t="n">
        <v>45167</v>
      </c>
      <c r="C516" s="1" t="n">
        <v>45845</v>
      </c>
      <c r="D516" t="inlineStr">
        <is>
          <t>VÄSTERBOTTENS LÄN</t>
        </is>
      </c>
      <c r="E516" t="inlineStr">
        <is>
          <t>NORSJÖ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39715-2023</t>
        </is>
      </c>
      <c r="B517" s="1" t="n">
        <v>45167</v>
      </c>
      <c r="C517" s="1" t="n">
        <v>45845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39786-2023</t>
        </is>
      </c>
      <c r="B518" s="1" t="n">
        <v>45168</v>
      </c>
      <c r="C518" s="1" t="n">
        <v>45845</v>
      </c>
      <c r="D518" t="inlineStr">
        <is>
          <t>VÄSTERBOTTENS LÄN</t>
        </is>
      </c>
      <c r="E518" t="inlineStr">
        <is>
          <t>NORSJÖ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39908-2023</t>
        </is>
      </c>
      <c r="B519" s="1" t="n">
        <v>45168</v>
      </c>
      <c r="C519" s="1" t="n">
        <v>45845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40081-2023</t>
        </is>
      </c>
      <c r="B520" s="1" t="n">
        <v>45168</v>
      </c>
      <c r="C520" s="1" t="n">
        <v>45845</v>
      </c>
      <c r="D520" t="inlineStr">
        <is>
          <t>VÄSTERBOTTENS LÄN</t>
        </is>
      </c>
      <c r="E520" t="inlineStr">
        <is>
          <t>NORSJÖ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40089-2023</t>
        </is>
      </c>
      <c r="B521" s="1" t="n">
        <v>45168</v>
      </c>
      <c r="C521" s="1" t="n">
        <v>45845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40087-2023</t>
        </is>
      </c>
      <c r="B522" s="1" t="n">
        <v>45168</v>
      </c>
      <c r="C522" s="1" t="n">
        <v>45845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40086-2023</t>
        </is>
      </c>
      <c r="B523" s="1" t="n">
        <v>45168</v>
      </c>
      <c r="C523" s="1" t="n">
        <v>45845</v>
      </c>
      <c r="D523" t="inlineStr">
        <is>
          <t>VÄSTERBOTTENS LÄN</t>
        </is>
      </c>
      <c r="E523" t="inlineStr">
        <is>
          <t>NORSJÖ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40090-2023</t>
        </is>
      </c>
      <c r="B524" s="1" t="n">
        <v>45168</v>
      </c>
      <c r="C524" s="1" t="n">
        <v>45845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39953-2023</t>
        </is>
      </c>
      <c r="B525" s="1" t="n">
        <v>45168</v>
      </c>
      <c r="C525" s="1" t="n">
        <v>45845</v>
      </c>
      <c r="D525" t="inlineStr">
        <is>
          <t>VÄSTERBOTTENS LÄN</t>
        </is>
      </c>
      <c r="E525" t="inlineStr">
        <is>
          <t>NORSJÖ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40088-2023</t>
        </is>
      </c>
      <c r="B526" s="1" t="n">
        <v>45168</v>
      </c>
      <c r="C526" s="1" t="n">
        <v>45845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40220-2023</t>
        </is>
      </c>
      <c r="B527" s="1" t="n">
        <v>45169</v>
      </c>
      <c r="C527" s="1" t="n">
        <v>45845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8.9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40229-2023</t>
        </is>
      </c>
      <c r="B528" s="1" t="n">
        <v>45169</v>
      </c>
      <c r="C528" s="1" t="n">
        <v>45845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6.8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40385-2023</t>
        </is>
      </c>
      <c r="B529" s="1" t="n">
        <v>45169</v>
      </c>
      <c r="C529" s="1" t="n">
        <v>45845</v>
      </c>
      <c r="D529" t="inlineStr">
        <is>
          <t>VÄSTERBOTTENS LÄN</t>
        </is>
      </c>
      <c r="E529" t="inlineStr">
        <is>
          <t>NORSJÖ</t>
        </is>
      </c>
      <c r="G529" t="n">
        <v>37.1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40388-2023</t>
        </is>
      </c>
      <c r="B530" s="1" t="n">
        <v>45169</v>
      </c>
      <c r="C530" s="1" t="n">
        <v>45845</v>
      </c>
      <c r="D530" t="inlineStr">
        <is>
          <t>VÄSTERBOTTENS LÄN</t>
        </is>
      </c>
      <c r="E530" t="inlineStr">
        <is>
          <t>NORSJÖ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40478-2023</t>
        </is>
      </c>
      <c r="B531" s="1" t="n">
        <v>45170</v>
      </c>
      <c r="C531" s="1" t="n">
        <v>45845</v>
      </c>
      <c r="D531" t="inlineStr">
        <is>
          <t>VÄSTERBOTTENS LÄN</t>
        </is>
      </c>
      <c r="E531" t="inlineStr">
        <is>
          <t>NORSJÖ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40493-2023</t>
        </is>
      </c>
      <c r="B532" s="1" t="n">
        <v>45170</v>
      </c>
      <c r="C532" s="1" t="n">
        <v>45845</v>
      </c>
      <c r="D532" t="inlineStr">
        <is>
          <t>VÄSTERBOTTENS LÄN</t>
        </is>
      </c>
      <c r="E532" t="inlineStr">
        <is>
          <t>NORSJÖ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40754-2023</t>
        </is>
      </c>
      <c r="B533" s="1" t="n">
        <v>45171</v>
      </c>
      <c r="C533" s="1" t="n">
        <v>45845</v>
      </c>
      <c r="D533" t="inlineStr">
        <is>
          <t>VÄSTERBOTTENS LÄN</t>
        </is>
      </c>
      <c r="E533" t="inlineStr">
        <is>
          <t>NORSJÖ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40756-2023</t>
        </is>
      </c>
      <c r="B534" s="1" t="n">
        <v>45170</v>
      </c>
      <c r="C534" s="1" t="n">
        <v>45845</v>
      </c>
      <c r="D534" t="inlineStr">
        <is>
          <t>VÄSTERBOTTENS LÄN</t>
        </is>
      </c>
      <c r="E534" t="inlineStr">
        <is>
          <t>NORSJÖ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40753-2023</t>
        </is>
      </c>
      <c r="B535" s="1" t="n">
        <v>45171</v>
      </c>
      <c r="C535" s="1" t="n">
        <v>45845</v>
      </c>
      <c r="D535" t="inlineStr">
        <is>
          <t>VÄSTERBOTTENS LÄN</t>
        </is>
      </c>
      <c r="E535" t="inlineStr">
        <is>
          <t>NORSJÖ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40757-2023</t>
        </is>
      </c>
      <c r="B536" s="1" t="n">
        <v>45170</v>
      </c>
      <c r="C536" s="1" t="n">
        <v>45845</v>
      </c>
      <c r="D536" t="inlineStr">
        <is>
          <t>VÄSTERBOTTENS LÄN</t>
        </is>
      </c>
      <c r="E536" t="inlineStr">
        <is>
          <t>NORSJÖ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40758-2023</t>
        </is>
      </c>
      <c r="B537" s="1" t="n">
        <v>45171</v>
      </c>
      <c r="C537" s="1" t="n">
        <v>45845</v>
      </c>
      <c r="D537" t="inlineStr">
        <is>
          <t>VÄSTERBOTTENS LÄN</t>
        </is>
      </c>
      <c r="E537" t="inlineStr">
        <is>
          <t>NORSJÖ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40751-2023</t>
        </is>
      </c>
      <c r="B538" s="1" t="n">
        <v>45171</v>
      </c>
      <c r="C538" s="1" t="n">
        <v>45845</v>
      </c>
      <c r="D538" t="inlineStr">
        <is>
          <t>VÄSTERBOTTENS LÄN</t>
        </is>
      </c>
      <c r="E538" t="inlineStr">
        <is>
          <t>NORSJÖ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41082-2023</t>
        </is>
      </c>
      <c r="B539" s="1" t="n">
        <v>45170</v>
      </c>
      <c r="C539" s="1" t="n">
        <v>45845</v>
      </c>
      <c r="D539" t="inlineStr">
        <is>
          <t>VÄSTERBOTTENS LÄN</t>
        </is>
      </c>
      <c r="E539" t="inlineStr">
        <is>
          <t>NORSJÖ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41537-2023</t>
        </is>
      </c>
      <c r="B540" s="1" t="n">
        <v>45172</v>
      </c>
      <c r="C540" s="1" t="n">
        <v>45845</v>
      </c>
      <c r="D540" t="inlineStr">
        <is>
          <t>VÄSTERBOTTENS LÄN</t>
        </is>
      </c>
      <c r="E540" t="inlineStr">
        <is>
          <t>NORSJÖ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41548-2023</t>
        </is>
      </c>
      <c r="B541" s="1" t="n">
        <v>45172</v>
      </c>
      <c r="C541" s="1" t="n">
        <v>45845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40928-2023</t>
        </is>
      </c>
      <c r="B542" s="1" t="n">
        <v>45173</v>
      </c>
      <c r="C542" s="1" t="n">
        <v>45845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41053-2023</t>
        </is>
      </c>
      <c r="B543" s="1" t="n">
        <v>45173</v>
      </c>
      <c r="C543" s="1" t="n">
        <v>45845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41101-2023</t>
        </is>
      </c>
      <c r="B544" s="1" t="n">
        <v>45173</v>
      </c>
      <c r="C544" s="1" t="n">
        <v>45845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41100-2023</t>
        </is>
      </c>
      <c r="B545" s="1" t="n">
        <v>45173</v>
      </c>
      <c r="C545" s="1" t="n">
        <v>45845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41137-2023</t>
        </is>
      </c>
      <c r="B546" s="1" t="n">
        <v>45173</v>
      </c>
      <c r="C546" s="1" t="n">
        <v>45845</v>
      </c>
      <c r="D546" t="inlineStr">
        <is>
          <t>VÄSTERBOTTENS LÄN</t>
        </is>
      </c>
      <c r="E546" t="inlineStr">
        <is>
          <t>NORSJÖ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41564-2023</t>
        </is>
      </c>
      <c r="B547" s="1" t="n">
        <v>45173</v>
      </c>
      <c r="C547" s="1" t="n">
        <v>45845</v>
      </c>
      <c r="D547" t="inlineStr">
        <is>
          <t>VÄSTERBOTTENS LÄN</t>
        </is>
      </c>
      <c r="E547" t="inlineStr">
        <is>
          <t>NORSJÖ</t>
        </is>
      </c>
      <c r="G547" t="n">
        <v>12.3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41585-2023</t>
        </is>
      </c>
      <c r="B548" s="1" t="n">
        <v>45173</v>
      </c>
      <c r="C548" s="1" t="n">
        <v>45845</v>
      </c>
      <c r="D548" t="inlineStr">
        <is>
          <t>VÄSTERBOTTENS LÄN</t>
        </is>
      </c>
      <c r="E548" t="inlineStr">
        <is>
          <t>NORSJÖ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41552-2023</t>
        </is>
      </c>
      <c r="B549" s="1" t="n">
        <v>45173</v>
      </c>
      <c r="C549" s="1" t="n">
        <v>45845</v>
      </c>
      <c r="D549" t="inlineStr">
        <is>
          <t>VÄSTERBOTTENS LÄN</t>
        </is>
      </c>
      <c r="E549" t="inlineStr">
        <is>
          <t>NORSJÖ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41559-2023</t>
        </is>
      </c>
      <c r="B550" s="1" t="n">
        <v>45173</v>
      </c>
      <c r="C550" s="1" t="n">
        <v>45845</v>
      </c>
      <c r="D550" t="inlineStr">
        <is>
          <t>VÄSTERBOTTENS LÄN</t>
        </is>
      </c>
      <c r="E550" t="inlineStr">
        <is>
          <t>NORSJÖ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40939-2023</t>
        </is>
      </c>
      <c r="B551" s="1" t="n">
        <v>45173</v>
      </c>
      <c r="C551" s="1" t="n">
        <v>45845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41582-2023</t>
        </is>
      </c>
      <c r="B552" s="1" t="n">
        <v>45173</v>
      </c>
      <c r="C552" s="1" t="n">
        <v>45845</v>
      </c>
      <c r="D552" t="inlineStr">
        <is>
          <t>VÄSTERBOTTENS LÄN</t>
        </is>
      </c>
      <c r="E552" t="inlineStr">
        <is>
          <t>NORSJÖ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41591-2023</t>
        </is>
      </c>
      <c r="B553" s="1" t="n">
        <v>45173</v>
      </c>
      <c r="C553" s="1" t="n">
        <v>45845</v>
      </c>
      <c r="D553" t="inlineStr">
        <is>
          <t>VÄSTERBOTTENS LÄN</t>
        </is>
      </c>
      <c r="E553" t="inlineStr">
        <is>
          <t>NORSJÖ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41386-2023</t>
        </is>
      </c>
      <c r="B554" s="1" t="n">
        <v>45175</v>
      </c>
      <c r="C554" s="1" t="n">
        <v>45845</v>
      </c>
      <c r="D554" t="inlineStr">
        <is>
          <t>VÄSTERBOTTENS LÄN</t>
        </is>
      </c>
      <c r="E554" t="inlineStr">
        <is>
          <t>NORSJÖ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41390-2023</t>
        </is>
      </c>
      <c r="B555" s="1" t="n">
        <v>45175</v>
      </c>
      <c r="C555" s="1" t="n">
        <v>45845</v>
      </c>
      <c r="D555" t="inlineStr">
        <is>
          <t>VÄSTERBOTTENS LÄN</t>
        </is>
      </c>
      <c r="E555" t="inlineStr">
        <is>
          <t>NORSJÖ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41388-2023</t>
        </is>
      </c>
      <c r="B556" s="1" t="n">
        <v>45174</v>
      </c>
      <c r="C556" s="1" t="n">
        <v>45845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41387-2023</t>
        </is>
      </c>
      <c r="B557" s="1" t="n">
        <v>45174</v>
      </c>
      <c r="C557" s="1" t="n">
        <v>45845</v>
      </c>
      <c r="D557" t="inlineStr">
        <is>
          <t>VÄSTERBOTTENS LÄN</t>
        </is>
      </c>
      <c r="E557" t="inlineStr">
        <is>
          <t>NORSJÖ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41391-2023</t>
        </is>
      </c>
      <c r="B558" s="1" t="n">
        <v>45175</v>
      </c>
      <c r="C558" s="1" t="n">
        <v>45845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41395-2023</t>
        </is>
      </c>
      <c r="B559" s="1" t="n">
        <v>45175</v>
      </c>
      <c r="C559" s="1" t="n">
        <v>45845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41646-2023</t>
        </is>
      </c>
      <c r="B560" s="1" t="n">
        <v>45176</v>
      </c>
      <c r="C560" s="1" t="n">
        <v>45845</v>
      </c>
      <c r="D560" t="inlineStr">
        <is>
          <t>VÄSTERBOTTENS LÄN</t>
        </is>
      </c>
      <c r="E560" t="inlineStr">
        <is>
          <t>NORSJÖ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42322-2023</t>
        </is>
      </c>
      <c r="B561" s="1" t="n">
        <v>45175</v>
      </c>
      <c r="C561" s="1" t="n">
        <v>45845</v>
      </c>
      <c r="D561" t="inlineStr">
        <is>
          <t>VÄSTERBOTTENS LÄN</t>
        </is>
      </c>
      <c r="E561" t="inlineStr">
        <is>
          <t>NORSJÖ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41906-2023</t>
        </is>
      </c>
      <c r="B562" s="1" t="n">
        <v>45177</v>
      </c>
      <c r="C562" s="1" t="n">
        <v>45845</v>
      </c>
      <c r="D562" t="inlineStr">
        <is>
          <t>VÄSTERBOTTENS LÄN</t>
        </is>
      </c>
      <c r="E562" t="inlineStr">
        <is>
          <t>NORSJÖ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41907-2023</t>
        </is>
      </c>
      <c r="B563" s="1" t="n">
        <v>45177</v>
      </c>
      <c r="C563" s="1" t="n">
        <v>45845</v>
      </c>
      <c r="D563" t="inlineStr">
        <is>
          <t>VÄSTERBOTTENS LÄN</t>
        </is>
      </c>
      <c r="E563" t="inlineStr">
        <is>
          <t>NORSJÖ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41981-2023</t>
        </is>
      </c>
      <c r="B564" s="1" t="n">
        <v>45177</v>
      </c>
      <c r="C564" s="1" t="n">
        <v>45845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42009-2023</t>
        </is>
      </c>
      <c r="B565" s="1" t="n">
        <v>45177</v>
      </c>
      <c r="C565" s="1" t="n">
        <v>45845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42034-2023</t>
        </is>
      </c>
      <c r="B566" s="1" t="n">
        <v>45177</v>
      </c>
      <c r="C566" s="1" t="n">
        <v>45845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42051-2023</t>
        </is>
      </c>
      <c r="B567" s="1" t="n">
        <v>45177</v>
      </c>
      <c r="C567" s="1" t="n">
        <v>45845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42181-2023</t>
        </is>
      </c>
      <c r="B568" s="1" t="n">
        <v>45179</v>
      </c>
      <c r="C568" s="1" t="n">
        <v>45845</v>
      </c>
      <c r="D568" t="inlineStr">
        <is>
          <t>VÄSTERBOTTENS LÄN</t>
        </is>
      </c>
      <c r="E568" t="inlineStr">
        <is>
          <t>NORSJÖ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42498-2023</t>
        </is>
      </c>
      <c r="B569" s="1" t="n">
        <v>45180</v>
      </c>
      <c r="C569" s="1" t="n">
        <v>45845</v>
      </c>
      <c r="D569" t="inlineStr">
        <is>
          <t>VÄSTERBOTTENS LÄN</t>
        </is>
      </c>
      <c r="E569" t="inlineStr">
        <is>
          <t>NORSJÖ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42745-2023</t>
        </is>
      </c>
      <c r="B570" s="1" t="n">
        <v>45181</v>
      </c>
      <c r="C570" s="1" t="n">
        <v>45845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42738-2023</t>
        </is>
      </c>
      <c r="B571" s="1" t="n">
        <v>45181</v>
      </c>
      <c r="C571" s="1" t="n">
        <v>45845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42740-2023</t>
        </is>
      </c>
      <c r="B572" s="1" t="n">
        <v>45181</v>
      </c>
      <c r="C572" s="1" t="n">
        <v>45845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42744-2023</t>
        </is>
      </c>
      <c r="B573" s="1" t="n">
        <v>45181</v>
      </c>
      <c r="C573" s="1" t="n">
        <v>45845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43832-2023</t>
        </is>
      </c>
      <c r="B574" s="1" t="n">
        <v>45182</v>
      </c>
      <c r="C574" s="1" t="n">
        <v>45845</v>
      </c>
      <c r="D574" t="inlineStr">
        <is>
          <t>VÄSTERBOTTENS LÄN</t>
        </is>
      </c>
      <c r="E574" t="inlineStr">
        <is>
          <t>NORSJÖ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43848-2023</t>
        </is>
      </c>
      <c r="B575" s="1" t="n">
        <v>45182</v>
      </c>
      <c r="C575" s="1" t="n">
        <v>45845</v>
      </c>
      <c r="D575" t="inlineStr">
        <is>
          <t>VÄSTERBOTTENS LÄN</t>
        </is>
      </c>
      <c r="E575" t="inlineStr">
        <is>
          <t>NORSJÖ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43182-2023</t>
        </is>
      </c>
      <c r="B576" s="1" t="n">
        <v>45183</v>
      </c>
      <c r="C576" s="1" t="n">
        <v>45845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43399-2023</t>
        </is>
      </c>
      <c r="B577" s="1" t="n">
        <v>45183</v>
      </c>
      <c r="C577" s="1" t="n">
        <v>45845</v>
      </c>
      <c r="D577" t="inlineStr">
        <is>
          <t>VÄSTERBOTTENS LÄN</t>
        </is>
      </c>
      <c r="E577" t="inlineStr">
        <is>
          <t>NORSJÖ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43396-2023</t>
        </is>
      </c>
      <c r="B578" s="1" t="n">
        <v>45184</v>
      </c>
      <c r="C578" s="1" t="n">
        <v>45845</v>
      </c>
      <c r="D578" t="inlineStr">
        <is>
          <t>VÄSTERBOTTENS LÄN</t>
        </is>
      </c>
      <c r="E578" t="inlineStr">
        <is>
          <t>NORSJÖ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43398-2023</t>
        </is>
      </c>
      <c r="B579" s="1" t="n">
        <v>45183</v>
      </c>
      <c r="C579" s="1" t="n">
        <v>45845</v>
      </c>
      <c r="D579" t="inlineStr">
        <is>
          <t>VÄSTERBOTTENS LÄN</t>
        </is>
      </c>
      <c r="E579" t="inlineStr">
        <is>
          <t>NORSJÖ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43433-2023</t>
        </is>
      </c>
      <c r="B580" s="1" t="n">
        <v>45184</v>
      </c>
      <c r="C580" s="1" t="n">
        <v>45845</v>
      </c>
      <c r="D580" t="inlineStr">
        <is>
          <t>VÄSTERBOTTENS LÄN</t>
        </is>
      </c>
      <c r="E580" t="inlineStr">
        <is>
          <t>NORSJÖ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43444-2023</t>
        </is>
      </c>
      <c r="B581" s="1" t="n">
        <v>45184</v>
      </c>
      <c r="C581" s="1" t="n">
        <v>45845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44748-2023</t>
        </is>
      </c>
      <c r="B582" s="1" t="n">
        <v>45184</v>
      </c>
      <c r="C582" s="1" t="n">
        <v>45845</v>
      </c>
      <c r="D582" t="inlineStr">
        <is>
          <t>VÄSTERBOTTENS LÄN</t>
        </is>
      </c>
      <c r="E582" t="inlineStr">
        <is>
          <t>NORSJÖ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43630-2023</t>
        </is>
      </c>
      <c r="B583" s="1" t="n">
        <v>45184</v>
      </c>
      <c r="C583" s="1" t="n">
        <v>45845</v>
      </c>
      <c r="D583" t="inlineStr">
        <is>
          <t>VÄSTERBOTTENS LÄN</t>
        </is>
      </c>
      <c r="E583" t="inlineStr">
        <is>
          <t>NORSJÖ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44622-2023</t>
        </is>
      </c>
      <c r="B584" s="1" t="n">
        <v>45184</v>
      </c>
      <c r="C584" s="1" t="n">
        <v>45845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44310-2023</t>
        </is>
      </c>
      <c r="B585" s="1" t="n">
        <v>45187</v>
      </c>
      <c r="C585" s="1" t="n">
        <v>45845</v>
      </c>
      <c r="D585" t="inlineStr">
        <is>
          <t>VÄSTERBOTTENS LÄN</t>
        </is>
      </c>
      <c r="E585" t="inlineStr">
        <is>
          <t>NORSJÖ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45706-2023</t>
        </is>
      </c>
      <c r="B586" s="1" t="n">
        <v>45189</v>
      </c>
      <c r="C586" s="1" t="n">
        <v>45845</v>
      </c>
      <c r="D586" t="inlineStr">
        <is>
          <t>VÄSTERBOTTENS LÄN</t>
        </is>
      </c>
      <c r="E586" t="inlineStr">
        <is>
          <t>NORSJÖ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44976-2023</t>
        </is>
      </c>
      <c r="B587" s="1" t="n">
        <v>45190</v>
      </c>
      <c r="C587" s="1" t="n">
        <v>45845</v>
      </c>
      <c r="D587" t="inlineStr">
        <is>
          <t>VÄSTERBOTTENS LÄN</t>
        </is>
      </c>
      <c r="E587" t="inlineStr">
        <is>
          <t>NORSJÖ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45825-2023</t>
        </is>
      </c>
      <c r="B588" s="1" t="n">
        <v>45195</v>
      </c>
      <c r="C588" s="1" t="n">
        <v>45845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45819-2023</t>
        </is>
      </c>
      <c r="B589" s="1" t="n">
        <v>45195</v>
      </c>
      <c r="C589" s="1" t="n">
        <v>45845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45817-2023</t>
        </is>
      </c>
      <c r="B590" s="1" t="n">
        <v>45195</v>
      </c>
      <c r="C590" s="1" t="n">
        <v>45845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45907-2023</t>
        </is>
      </c>
      <c r="B591" s="1" t="n">
        <v>45195</v>
      </c>
      <c r="C591" s="1" t="n">
        <v>45845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46251-2023</t>
        </is>
      </c>
      <c r="B592" s="1" t="n">
        <v>45196</v>
      </c>
      <c r="C592" s="1" t="n">
        <v>45845</v>
      </c>
      <c r="D592" t="inlineStr">
        <is>
          <t>VÄSTERBOTTENS LÄN</t>
        </is>
      </c>
      <c r="E592" t="inlineStr">
        <is>
          <t>NORSJÖ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46535-2023</t>
        </is>
      </c>
      <c r="B593" s="1" t="n">
        <v>45197</v>
      </c>
      <c r="C593" s="1" t="n">
        <v>45845</v>
      </c>
      <c r="D593" t="inlineStr">
        <is>
          <t>VÄSTERBOTTENS LÄN</t>
        </is>
      </c>
      <c r="E593" t="inlineStr">
        <is>
          <t>NORSJÖ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46803-2023</t>
        </is>
      </c>
      <c r="B594" s="1" t="n">
        <v>45198</v>
      </c>
      <c r="C594" s="1" t="n">
        <v>45845</v>
      </c>
      <c r="D594" t="inlineStr">
        <is>
          <t>VÄSTERBOTTENS LÄN</t>
        </is>
      </c>
      <c r="E594" t="inlineStr">
        <is>
          <t>NORSJÖ</t>
        </is>
      </c>
      <c r="G594" t="n">
        <v>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47297-2023</t>
        </is>
      </c>
      <c r="B595" s="1" t="n">
        <v>45202</v>
      </c>
      <c r="C595" s="1" t="n">
        <v>45845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47326-2023</t>
        </is>
      </c>
      <c r="B596" s="1" t="n">
        <v>45202</v>
      </c>
      <c r="C596" s="1" t="n">
        <v>45845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48604-2023</t>
        </is>
      </c>
      <c r="B597" s="1" t="n">
        <v>45202</v>
      </c>
      <c r="C597" s="1" t="n">
        <v>45845</v>
      </c>
      <c r="D597" t="inlineStr">
        <is>
          <t>VÄSTERBOTTENS LÄN</t>
        </is>
      </c>
      <c r="E597" t="inlineStr">
        <is>
          <t>NORSJÖ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47604-2023</t>
        </is>
      </c>
      <c r="B598" s="1" t="n">
        <v>45203</v>
      </c>
      <c r="C598" s="1" t="n">
        <v>45845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47636-2023</t>
        </is>
      </c>
      <c r="B599" s="1" t="n">
        <v>45203</v>
      </c>
      <c r="C599" s="1" t="n">
        <v>45845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49020-2023</t>
        </is>
      </c>
      <c r="B600" s="1" t="n">
        <v>45204</v>
      </c>
      <c r="C600" s="1" t="n">
        <v>45845</v>
      </c>
      <c r="D600" t="inlineStr">
        <is>
          <t>VÄSTERBOTTENS LÄN</t>
        </is>
      </c>
      <c r="E600" t="inlineStr">
        <is>
          <t>NORSJÖ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48623-2023</t>
        </is>
      </c>
      <c r="B601" s="1" t="n">
        <v>45208</v>
      </c>
      <c r="C601" s="1" t="n">
        <v>45845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48765-2023</t>
        </is>
      </c>
      <c r="B602" s="1" t="n">
        <v>45209</v>
      </c>
      <c r="C602" s="1" t="n">
        <v>45845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48549-2023</t>
        </is>
      </c>
      <c r="B603" s="1" t="n">
        <v>45208</v>
      </c>
      <c r="C603" s="1" t="n">
        <v>45845</v>
      </c>
      <c r="D603" t="inlineStr">
        <is>
          <t>VÄSTERBOTTENS LÄN</t>
        </is>
      </c>
      <c r="E603" t="inlineStr">
        <is>
          <t>NORSJÖ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50075-2023</t>
        </is>
      </c>
      <c r="B604" s="1" t="n">
        <v>45208</v>
      </c>
      <c r="C604" s="1" t="n">
        <v>45845</v>
      </c>
      <c r="D604" t="inlineStr">
        <is>
          <t>VÄSTERBOTTENS LÄN</t>
        </is>
      </c>
      <c r="E604" t="inlineStr">
        <is>
          <t>NORSJÖ</t>
        </is>
      </c>
      <c r="F604" t="inlineStr">
        <is>
          <t>Övriga Aktiebolag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50084-2023</t>
        </is>
      </c>
      <c r="B605" s="1" t="n">
        <v>45208</v>
      </c>
      <c r="C605" s="1" t="n">
        <v>45845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50368-2023</t>
        </is>
      </c>
      <c r="B606" s="1" t="n">
        <v>45209</v>
      </c>
      <c r="C606" s="1" t="n">
        <v>45845</v>
      </c>
      <c r="D606" t="inlineStr">
        <is>
          <t>VÄSTERBOTTENS LÄN</t>
        </is>
      </c>
      <c r="E606" t="inlineStr">
        <is>
          <t>NORSJÖ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49109-2023</t>
        </is>
      </c>
      <c r="B607" s="1" t="n">
        <v>45210</v>
      </c>
      <c r="C607" s="1" t="n">
        <v>45845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49259-2023</t>
        </is>
      </c>
      <c r="B608" s="1" t="n">
        <v>45210</v>
      </c>
      <c r="C608" s="1" t="n">
        <v>45845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49616-2023</t>
        </is>
      </c>
      <c r="B609" s="1" t="n">
        <v>45211</v>
      </c>
      <c r="C609" s="1" t="n">
        <v>45845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51332-2023</t>
        </is>
      </c>
      <c r="B610" s="1" t="n">
        <v>45212</v>
      </c>
      <c r="C610" s="1" t="n">
        <v>45845</v>
      </c>
      <c r="D610" t="inlineStr">
        <is>
          <t>VÄSTERBOTTENS LÄN</t>
        </is>
      </c>
      <c r="E610" t="inlineStr">
        <is>
          <t>NORSJÖ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51163-2023</t>
        </is>
      </c>
      <c r="B611" s="1" t="n">
        <v>45212</v>
      </c>
      <c r="C611" s="1" t="n">
        <v>45845</v>
      </c>
      <c r="D611" t="inlineStr">
        <is>
          <t>VÄSTERBOTTENS LÄN</t>
        </is>
      </c>
      <c r="E611" t="inlineStr">
        <is>
          <t>NORSJÖ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49893-2023</t>
        </is>
      </c>
      <c r="B612" s="1" t="n">
        <v>45213</v>
      </c>
      <c r="C612" s="1" t="n">
        <v>45845</v>
      </c>
      <c r="D612" t="inlineStr">
        <is>
          <t>VÄSTERBOTTENS LÄN</t>
        </is>
      </c>
      <c r="E612" t="inlineStr">
        <is>
          <t>NORSJÖ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49898-2023</t>
        </is>
      </c>
      <c r="B613" s="1" t="n">
        <v>45213</v>
      </c>
      <c r="C613" s="1" t="n">
        <v>45845</v>
      </c>
      <c r="D613" t="inlineStr">
        <is>
          <t>VÄSTERBOTTENS LÄN</t>
        </is>
      </c>
      <c r="E613" t="inlineStr">
        <is>
          <t>NORSJÖ</t>
        </is>
      </c>
      <c r="G613" t="n">
        <v>19.8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50232-2023</t>
        </is>
      </c>
      <c r="B614" s="1" t="n">
        <v>45216</v>
      </c>
      <c r="C614" s="1" t="n">
        <v>45845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SCA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50233-2023</t>
        </is>
      </c>
      <c r="B615" s="1" t="n">
        <v>45216</v>
      </c>
      <c r="C615" s="1" t="n">
        <v>45845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50426-2023</t>
        </is>
      </c>
      <c r="B616" s="1" t="n">
        <v>45216</v>
      </c>
      <c r="C616" s="1" t="n">
        <v>45845</v>
      </c>
      <c r="D616" t="inlineStr">
        <is>
          <t>VÄSTERBOTTENS LÄN</t>
        </is>
      </c>
      <c r="E616" t="inlineStr">
        <is>
          <t>NORSJÖ</t>
        </is>
      </c>
      <c r="F616" t="inlineStr">
        <is>
          <t>Övriga Aktiebolag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50354-2023</t>
        </is>
      </c>
      <c r="B617" s="1" t="n">
        <v>45216</v>
      </c>
      <c r="C617" s="1" t="n">
        <v>45845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50610-2023</t>
        </is>
      </c>
      <c r="B618" s="1" t="n">
        <v>45217</v>
      </c>
      <c r="C618" s="1" t="n">
        <v>45845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Sveaskog</t>
        </is>
      </c>
      <c r="G618" t="n">
        <v>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50626-2023</t>
        </is>
      </c>
      <c r="B619" s="1" t="n">
        <v>45217</v>
      </c>
      <c r="C619" s="1" t="n">
        <v>45845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51237-2023</t>
        </is>
      </c>
      <c r="B620" s="1" t="n">
        <v>45219</v>
      </c>
      <c r="C620" s="1" t="n">
        <v>45845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51197-2023</t>
        </is>
      </c>
      <c r="B621" s="1" t="n">
        <v>45219</v>
      </c>
      <c r="C621" s="1" t="n">
        <v>45845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52114-2023</t>
        </is>
      </c>
      <c r="B622" s="1" t="n">
        <v>45223</v>
      </c>
      <c r="C622" s="1" t="n">
        <v>45845</v>
      </c>
      <c r="D622" t="inlineStr">
        <is>
          <t>VÄSTERBOTTENS LÄN</t>
        </is>
      </c>
      <c r="E622" t="inlineStr">
        <is>
          <t>NORSJÖ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52179-2023</t>
        </is>
      </c>
      <c r="B623" s="1" t="n">
        <v>45224</v>
      </c>
      <c r="C623" s="1" t="n">
        <v>45845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52817-2023</t>
        </is>
      </c>
      <c r="B624" s="1" t="n">
        <v>45226</v>
      </c>
      <c r="C624" s="1" t="n">
        <v>45845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53345-2023</t>
        </is>
      </c>
      <c r="B625" s="1" t="n">
        <v>45229</v>
      </c>
      <c r="C625" s="1" t="n">
        <v>45845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55313-2023</t>
        </is>
      </c>
      <c r="B626" s="1" t="n">
        <v>45237</v>
      </c>
      <c r="C626" s="1" t="n">
        <v>45845</v>
      </c>
      <c r="D626" t="inlineStr">
        <is>
          <t>VÄSTERBOTTENS LÄN</t>
        </is>
      </c>
      <c r="E626" t="inlineStr">
        <is>
          <t>NORSJÖ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56061-2023</t>
        </is>
      </c>
      <c r="B627" s="1" t="n">
        <v>45240</v>
      </c>
      <c r="C627" s="1" t="n">
        <v>45845</v>
      </c>
      <c r="D627" t="inlineStr">
        <is>
          <t>VÄSTERBOTTENS LÄN</t>
        </is>
      </c>
      <c r="E627" t="inlineStr">
        <is>
          <t>NORSJÖ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56090-2023</t>
        </is>
      </c>
      <c r="B628" s="1" t="n">
        <v>45240</v>
      </c>
      <c r="C628" s="1" t="n">
        <v>45845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58524-2023</t>
        </is>
      </c>
      <c r="B629" s="1" t="n">
        <v>45246</v>
      </c>
      <c r="C629" s="1" t="n">
        <v>45845</v>
      </c>
      <c r="D629" t="inlineStr">
        <is>
          <t>VÄSTERBOTTENS LÄN</t>
        </is>
      </c>
      <c r="E629" t="inlineStr">
        <is>
          <t>NORSJÖ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58597-2023</t>
        </is>
      </c>
      <c r="B630" s="1" t="n">
        <v>45246</v>
      </c>
      <c r="C630" s="1" t="n">
        <v>45845</v>
      </c>
      <c r="D630" t="inlineStr">
        <is>
          <t>VÄSTERBOTTENS LÄN</t>
        </is>
      </c>
      <c r="E630" t="inlineStr">
        <is>
          <t>NORSJÖ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58753-2023</t>
        </is>
      </c>
      <c r="B631" s="1" t="n">
        <v>45251</v>
      </c>
      <c r="C631" s="1" t="n">
        <v>45845</v>
      </c>
      <c r="D631" t="inlineStr">
        <is>
          <t>VÄSTERBOTTENS LÄN</t>
        </is>
      </c>
      <c r="E631" t="inlineStr">
        <is>
          <t>NORSJÖ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59193-2023</t>
        </is>
      </c>
      <c r="B632" s="1" t="n">
        <v>45252</v>
      </c>
      <c r="C632" s="1" t="n">
        <v>45845</v>
      </c>
      <c r="D632" t="inlineStr">
        <is>
          <t>VÄSTERBOTTENS LÄN</t>
        </is>
      </c>
      <c r="E632" t="inlineStr">
        <is>
          <t>NORSJÖ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59889-2023</t>
        </is>
      </c>
      <c r="B633" s="1" t="n">
        <v>45257</v>
      </c>
      <c r="C633" s="1" t="n">
        <v>45845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59814-2023</t>
        </is>
      </c>
      <c r="B634" s="1" t="n">
        <v>45257</v>
      </c>
      <c r="C634" s="1" t="n">
        <v>45845</v>
      </c>
      <c r="D634" t="inlineStr">
        <is>
          <t>VÄSTERBOTTENS LÄN</t>
        </is>
      </c>
      <c r="E634" t="inlineStr">
        <is>
          <t>NORSJÖ</t>
        </is>
      </c>
      <c r="G634" t="n">
        <v>28.6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59959-2023</t>
        </is>
      </c>
      <c r="B635" s="1" t="n">
        <v>45257</v>
      </c>
      <c r="C635" s="1" t="n">
        <v>45845</v>
      </c>
      <c r="D635" t="inlineStr">
        <is>
          <t>VÄSTERBOTTENS LÄN</t>
        </is>
      </c>
      <c r="E635" t="inlineStr">
        <is>
          <t>NORSJÖ</t>
        </is>
      </c>
      <c r="F635" t="inlineStr">
        <is>
          <t>Holmen skog AB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60843-2023</t>
        </is>
      </c>
      <c r="B636" s="1" t="n">
        <v>45260</v>
      </c>
      <c r="C636" s="1" t="n">
        <v>45845</v>
      </c>
      <c r="D636" t="inlineStr">
        <is>
          <t>VÄSTERBOTTENS LÄN</t>
        </is>
      </c>
      <c r="E636" t="inlineStr">
        <is>
          <t>NORSJÖ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60844-2023</t>
        </is>
      </c>
      <c r="B637" s="1" t="n">
        <v>45260</v>
      </c>
      <c r="C637" s="1" t="n">
        <v>45845</v>
      </c>
      <c r="D637" t="inlineStr">
        <is>
          <t>VÄSTERBOTTENS LÄN</t>
        </is>
      </c>
      <c r="E637" t="inlineStr">
        <is>
          <t>NORSJÖ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60846-2023</t>
        </is>
      </c>
      <c r="B638" s="1" t="n">
        <v>45260</v>
      </c>
      <c r="C638" s="1" t="n">
        <v>45845</v>
      </c>
      <c r="D638" t="inlineStr">
        <is>
          <t>VÄSTERBOTTENS LÄN</t>
        </is>
      </c>
      <c r="E638" t="inlineStr">
        <is>
          <t>NORSJÖ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45845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62600-2023</t>
        </is>
      </c>
      <c r="B640" s="1" t="n">
        <v>45271</v>
      </c>
      <c r="C640" s="1" t="n">
        <v>45845</v>
      </c>
      <c r="D640" t="inlineStr">
        <is>
          <t>VÄSTERBOTTENS LÄN</t>
        </is>
      </c>
      <c r="E640" t="inlineStr">
        <is>
          <t>NORSJÖ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62743-2023</t>
        </is>
      </c>
      <c r="B641" s="1" t="n">
        <v>45271</v>
      </c>
      <c r="C641" s="1" t="n">
        <v>45845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63319-2023</t>
        </is>
      </c>
      <c r="B642" s="1" t="n">
        <v>45273</v>
      </c>
      <c r="C642" s="1" t="n">
        <v>45845</v>
      </c>
      <c r="D642" t="inlineStr">
        <is>
          <t>VÄSTERBOTTENS LÄN</t>
        </is>
      </c>
      <c r="E642" t="inlineStr">
        <is>
          <t>NORSJÖ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63424-2023</t>
        </is>
      </c>
      <c r="B643" s="1" t="n">
        <v>45274</v>
      </c>
      <c r="C643" s="1" t="n">
        <v>45845</v>
      </c>
      <c r="D643" t="inlineStr">
        <is>
          <t>VÄSTERBOTTENS LÄN</t>
        </is>
      </c>
      <c r="E643" t="inlineStr">
        <is>
          <t>NORSJÖ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63368-2023</t>
        </is>
      </c>
      <c r="B644" s="1" t="n">
        <v>45274</v>
      </c>
      <c r="C644" s="1" t="n">
        <v>45845</v>
      </c>
      <c r="D644" t="inlineStr">
        <is>
          <t>VÄSTERBOTTENS LÄN</t>
        </is>
      </c>
      <c r="E644" t="inlineStr">
        <is>
          <t>NORSJÖ</t>
        </is>
      </c>
      <c r="F644" t="inlineStr">
        <is>
          <t>Sveaskog</t>
        </is>
      </c>
      <c r="G644" t="n">
        <v>11.7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63666-2023</t>
        </is>
      </c>
      <c r="B645" s="1" t="n">
        <v>45275</v>
      </c>
      <c r="C645" s="1" t="n">
        <v>45845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64256-2023</t>
        </is>
      </c>
      <c r="B646" s="1" t="n">
        <v>45279</v>
      </c>
      <c r="C646" s="1" t="n">
        <v>45845</v>
      </c>
      <c r="D646" t="inlineStr">
        <is>
          <t>VÄSTERBOTTENS LÄN</t>
        </is>
      </c>
      <c r="E646" t="inlineStr">
        <is>
          <t>NORSJÖ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64259-2023</t>
        </is>
      </c>
      <c r="B647" s="1" t="n">
        <v>45279</v>
      </c>
      <c r="C647" s="1" t="n">
        <v>45845</v>
      </c>
      <c r="D647" t="inlineStr">
        <is>
          <t>VÄSTERBOTTENS LÄN</t>
        </is>
      </c>
      <c r="E647" t="inlineStr">
        <is>
          <t>NORSJÖ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64331-2023</t>
        </is>
      </c>
      <c r="B648" s="1" t="n">
        <v>45280</v>
      </c>
      <c r="C648" s="1" t="n">
        <v>45845</v>
      </c>
      <c r="D648" t="inlineStr">
        <is>
          <t>VÄSTERBOTTENS LÄN</t>
        </is>
      </c>
      <c r="E648" t="inlineStr">
        <is>
          <t>NORSJÖ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65239-2023</t>
        </is>
      </c>
      <c r="B649" s="1" t="n">
        <v>45289</v>
      </c>
      <c r="C649" s="1" t="n">
        <v>45845</v>
      </c>
      <c r="D649" t="inlineStr">
        <is>
          <t>VÄSTERBOTTENS LÄN</t>
        </is>
      </c>
      <c r="E649" t="inlineStr">
        <is>
          <t>NORSJÖ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660-2024</t>
        </is>
      </c>
      <c r="B650" s="1" t="n">
        <v>45299</v>
      </c>
      <c r="C650" s="1" t="n">
        <v>45845</v>
      </c>
      <c r="D650" t="inlineStr">
        <is>
          <t>VÄSTERBOTTENS LÄN</t>
        </is>
      </c>
      <c r="E650" t="inlineStr">
        <is>
          <t>NORSJÖ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793-2024</t>
        </is>
      </c>
      <c r="B651" s="1" t="n">
        <v>45300</v>
      </c>
      <c r="C651" s="1" t="n">
        <v>45845</v>
      </c>
      <c r="D651" t="inlineStr">
        <is>
          <t>VÄSTERBOTTENS LÄN</t>
        </is>
      </c>
      <c r="E651" t="inlineStr">
        <is>
          <t>NORSJÖ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1550-2024</t>
        </is>
      </c>
      <c r="B652" s="1" t="n">
        <v>45306</v>
      </c>
      <c r="C652" s="1" t="n">
        <v>45845</v>
      </c>
      <c r="D652" t="inlineStr">
        <is>
          <t>VÄSTERBOTTENS LÄN</t>
        </is>
      </c>
      <c r="E652" t="inlineStr">
        <is>
          <t>NORSJÖ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1565-2024</t>
        </is>
      </c>
      <c r="B653" s="1" t="n">
        <v>45306</v>
      </c>
      <c r="C653" s="1" t="n">
        <v>45845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23.6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2370-2024</t>
        </is>
      </c>
      <c r="B654" s="1" t="n">
        <v>45310</v>
      </c>
      <c r="C654" s="1" t="n">
        <v>45845</v>
      </c>
      <c r="D654" t="inlineStr">
        <is>
          <t>VÄSTERBOTTENS LÄN</t>
        </is>
      </c>
      <c r="E654" t="inlineStr">
        <is>
          <t>NORSJÖ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3802-2024</t>
        </is>
      </c>
      <c r="B655" s="1" t="n">
        <v>45321</v>
      </c>
      <c r="C655" s="1" t="n">
        <v>45845</v>
      </c>
      <c r="D655" t="inlineStr">
        <is>
          <t>VÄSTERBOTTENS LÄN</t>
        </is>
      </c>
      <c r="E655" t="inlineStr">
        <is>
          <t>NORSJÖ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4477-2024</t>
        </is>
      </c>
      <c r="B656" s="1" t="n">
        <v>45327</v>
      </c>
      <c r="C656" s="1" t="n">
        <v>45845</v>
      </c>
      <c r="D656" t="inlineStr">
        <is>
          <t>VÄSTERBOTTENS LÄN</t>
        </is>
      </c>
      <c r="E656" t="inlineStr">
        <is>
          <t>NORSJÖ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4482-2024</t>
        </is>
      </c>
      <c r="B657" s="1" t="n">
        <v>45327</v>
      </c>
      <c r="C657" s="1" t="n">
        <v>45845</v>
      </c>
      <c r="D657" t="inlineStr">
        <is>
          <t>VÄSTERBOTTENS LÄN</t>
        </is>
      </c>
      <c r="E657" t="inlineStr">
        <is>
          <t>NORSJÖ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4702-2024</t>
        </is>
      </c>
      <c r="B658" s="1" t="n">
        <v>45328</v>
      </c>
      <c r="C658" s="1" t="n">
        <v>45845</v>
      </c>
      <c r="D658" t="inlineStr">
        <is>
          <t>VÄSTERBOTTENS LÄN</t>
        </is>
      </c>
      <c r="E658" t="inlineStr">
        <is>
          <t>NORSJÖ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5430-2024</t>
        </is>
      </c>
      <c r="B659" s="1" t="n">
        <v>45331</v>
      </c>
      <c r="C659" s="1" t="n">
        <v>45845</v>
      </c>
      <c r="D659" t="inlineStr">
        <is>
          <t>VÄSTERBOTTENS LÄN</t>
        </is>
      </c>
      <c r="E659" t="inlineStr">
        <is>
          <t>NORSJÖ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6075-2024</t>
        </is>
      </c>
      <c r="B660" s="1" t="n">
        <v>45336</v>
      </c>
      <c r="C660" s="1" t="n">
        <v>45845</v>
      </c>
      <c r="D660" t="inlineStr">
        <is>
          <t>VÄSTERBOTTENS LÄN</t>
        </is>
      </c>
      <c r="E660" t="inlineStr">
        <is>
          <t>NORSJÖ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6079-2024</t>
        </is>
      </c>
      <c r="B661" s="1" t="n">
        <v>45336</v>
      </c>
      <c r="C661" s="1" t="n">
        <v>45845</v>
      </c>
      <c r="D661" t="inlineStr">
        <is>
          <t>VÄSTERBOTTENS LÄN</t>
        </is>
      </c>
      <c r="E661" t="inlineStr">
        <is>
          <t>NORSJÖ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6076-2024</t>
        </is>
      </c>
      <c r="B662" s="1" t="n">
        <v>45336</v>
      </c>
      <c r="C662" s="1" t="n">
        <v>45845</v>
      </c>
      <c r="D662" t="inlineStr">
        <is>
          <t>VÄSTERBOTTENS LÄN</t>
        </is>
      </c>
      <c r="E662" t="inlineStr">
        <is>
          <t>NORSJÖ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6499-2024</t>
        </is>
      </c>
      <c r="B663" s="1" t="n">
        <v>45339</v>
      </c>
      <c r="C663" s="1" t="n">
        <v>45845</v>
      </c>
      <c r="D663" t="inlineStr">
        <is>
          <t>VÄSTERBOTTENS LÄN</t>
        </is>
      </c>
      <c r="E663" t="inlineStr">
        <is>
          <t>NORSJÖ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6527-2024</t>
        </is>
      </c>
      <c r="B664" s="1" t="n">
        <v>45341</v>
      </c>
      <c r="C664" s="1" t="n">
        <v>45845</v>
      </c>
      <c r="D664" t="inlineStr">
        <is>
          <t>VÄSTERBOTTENS LÄN</t>
        </is>
      </c>
      <c r="E664" t="inlineStr">
        <is>
          <t>NORSJÖ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6667-2024</t>
        </is>
      </c>
      <c r="B665" s="1" t="n">
        <v>45341</v>
      </c>
      <c r="C665" s="1" t="n">
        <v>45845</v>
      </c>
      <c r="D665" t="inlineStr">
        <is>
          <t>VÄSTERBOTTENS LÄN</t>
        </is>
      </c>
      <c r="E665" t="inlineStr">
        <is>
          <t>NORSJÖ</t>
        </is>
      </c>
      <c r="F665" t="inlineStr">
        <is>
          <t>Holmen skog AB</t>
        </is>
      </c>
      <c r="G665" t="n">
        <v>10.8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6757-2024</t>
        </is>
      </c>
      <c r="B666" s="1" t="n">
        <v>45342</v>
      </c>
      <c r="C666" s="1" t="n">
        <v>45845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6773-2024</t>
        </is>
      </c>
      <c r="B667" s="1" t="n">
        <v>45342</v>
      </c>
      <c r="C667" s="1" t="n">
        <v>45845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7081-2024</t>
        </is>
      </c>
      <c r="B668" s="1" t="n">
        <v>45343</v>
      </c>
      <c r="C668" s="1" t="n">
        <v>45845</v>
      </c>
      <c r="D668" t="inlineStr">
        <is>
          <t>VÄSTERBOTTENS LÄN</t>
        </is>
      </c>
      <c r="E668" t="inlineStr">
        <is>
          <t>NORSJÖ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7178-2024</t>
        </is>
      </c>
      <c r="B669" s="1" t="n">
        <v>45344</v>
      </c>
      <c r="C669" s="1" t="n">
        <v>45845</v>
      </c>
      <c r="D669" t="inlineStr">
        <is>
          <t>VÄSTERBOTTENS LÄN</t>
        </is>
      </c>
      <c r="E669" t="inlineStr">
        <is>
          <t>NORSJÖ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7282-2024</t>
        </is>
      </c>
      <c r="B670" s="1" t="n">
        <v>45344</v>
      </c>
      <c r="C670" s="1" t="n">
        <v>45845</v>
      </c>
      <c r="D670" t="inlineStr">
        <is>
          <t>VÄSTERBOTTENS LÄN</t>
        </is>
      </c>
      <c r="E670" t="inlineStr">
        <is>
          <t>NORSJÖ</t>
        </is>
      </c>
      <c r="G670" t="n">
        <v>16.1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8607-2024</t>
        </is>
      </c>
      <c r="B671" s="1" t="n">
        <v>45355</v>
      </c>
      <c r="C671" s="1" t="n">
        <v>45845</v>
      </c>
      <c r="D671" t="inlineStr">
        <is>
          <t>VÄSTERBOTTENS LÄN</t>
        </is>
      </c>
      <c r="E671" t="inlineStr">
        <is>
          <t>NORSJÖ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8730-2024</t>
        </is>
      </c>
      <c r="B672" s="1" t="n">
        <v>45355</v>
      </c>
      <c r="C672" s="1" t="n">
        <v>45845</v>
      </c>
      <c r="D672" t="inlineStr">
        <is>
          <t>VÄSTERBOTTENS LÄN</t>
        </is>
      </c>
      <c r="E672" t="inlineStr">
        <is>
          <t>NORSJÖ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8786-2024</t>
        </is>
      </c>
      <c r="B673" s="1" t="n">
        <v>45356</v>
      </c>
      <c r="C673" s="1" t="n">
        <v>45845</v>
      </c>
      <c r="D673" t="inlineStr">
        <is>
          <t>VÄSTERBOTTENS LÄN</t>
        </is>
      </c>
      <c r="E673" t="inlineStr">
        <is>
          <t>NORSJÖ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9323-2024</t>
        </is>
      </c>
      <c r="B674" s="1" t="n">
        <v>45358</v>
      </c>
      <c r="C674" s="1" t="n">
        <v>45845</v>
      </c>
      <c r="D674" t="inlineStr">
        <is>
          <t>VÄSTERBOTTENS LÄN</t>
        </is>
      </c>
      <c r="E674" t="inlineStr">
        <is>
          <t>NORSJÖ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9724-2024</t>
        </is>
      </c>
      <c r="B675" s="1" t="n">
        <v>45362</v>
      </c>
      <c r="C675" s="1" t="n">
        <v>45845</v>
      </c>
      <c r="D675" t="inlineStr">
        <is>
          <t>VÄSTERBOTTENS LÄN</t>
        </is>
      </c>
      <c r="E675" t="inlineStr">
        <is>
          <t>NORSJÖ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9814-2024</t>
        </is>
      </c>
      <c r="B676" s="1" t="n">
        <v>45363</v>
      </c>
      <c r="C676" s="1" t="n">
        <v>45845</v>
      </c>
      <c r="D676" t="inlineStr">
        <is>
          <t>VÄSTERBOTTENS LÄN</t>
        </is>
      </c>
      <c r="E676" t="inlineStr">
        <is>
          <t>NORSJÖ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10024-2024</t>
        </is>
      </c>
      <c r="B677" s="1" t="n">
        <v>45363</v>
      </c>
      <c r="C677" s="1" t="n">
        <v>45845</v>
      </c>
      <c r="D677" t="inlineStr">
        <is>
          <t>VÄSTERBOTTENS LÄN</t>
        </is>
      </c>
      <c r="E677" t="inlineStr">
        <is>
          <t>NORSJÖ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10025-2024</t>
        </is>
      </c>
      <c r="B678" s="1" t="n">
        <v>45364</v>
      </c>
      <c r="C678" s="1" t="n">
        <v>45845</v>
      </c>
      <c r="D678" t="inlineStr">
        <is>
          <t>VÄSTERBOTTENS LÄN</t>
        </is>
      </c>
      <c r="E678" t="inlineStr">
        <is>
          <t>NORSJÖ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10027-2024</t>
        </is>
      </c>
      <c r="B679" s="1" t="n">
        <v>45363</v>
      </c>
      <c r="C679" s="1" t="n">
        <v>45845</v>
      </c>
      <c r="D679" t="inlineStr">
        <is>
          <t>VÄSTERBOTTENS LÄN</t>
        </is>
      </c>
      <c r="E679" t="inlineStr">
        <is>
          <t>NORSJÖ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11531-2024</t>
        </is>
      </c>
      <c r="B680" s="1" t="n">
        <v>45372</v>
      </c>
      <c r="C680" s="1" t="n">
        <v>45845</v>
      </c>
      <c r="D680" t="inlineStr">
        <is>
          <t>VÄSTERBOTTENS LÄN</t>
        </is>
      </c>
      <c r="E680" t="inlineStr">
        <is>
          <t>NORSJÖ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12321-2024</t>
        </is>
      </c>
      <c r="B681" s="1" t="n">
        <v>45377</v>
      </c>
      <c r="C681" s="1" t="n">
        <v>45845</v>
      </c>
      <c r="D681" t="inlineStr">
        <is>
          <t>VÄSTERBOTTENS LÄN</t>
        </is>
      </c>
      <c r="E681" t="inlineStr">
        <is>
          <t>NORSJÖ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12317-2024</t>
        </is>
      </c>
      <c r="B682" s="1" t="n">
        <v>45377</v>
      </c>
      <c r="C682" s="1" t="n">
        <v>45845</v>
      </c>
      <c r="D682" t="inlineStr">
        <is>
          <t>VÄSTERBOTTENS LÄN</t>
        </is>
      </c>
      <c r="E682" t="inlineStr">
        <is>
          <t>NORSJÖ</t>
        </is>
      </c>
      <c r="G682" t="n">
        <v>13.4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12800-2024</t>
        </is>
      </c>
      <c r="B683" s="1" t="n">
        <v>45384</v>
      </c>
      <c r="C683" s="1" t="n">
        <v>45845</v>
      </c>
      <c r="D683" t="inlineStr">
        <is>
          <t>VÄSTERBOTTENS LÄN</t>
        </is>
      </c>
      <c r="E683" t="inlineStr">
        <is>
          <t>NORSJÖ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12805-2024</t>
        </is>
      </c>
      <c r="B684" s="1" t="n">
        <v>45384</v>
      </c>
      <c r="C684" s="1" t="n">
        <v>45845</v>
      </c>
      <c r="D684" t="inlineStr">
        <is>
          <t>VÄSTERBOTTENS LÄN</t>
        </is>
      </c>
      <c r="E684" t="inlineStr">
        <is>
          <t>NORSJÖ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13240-2024</t>
        </is>
      </c>
      <c r="B685" s="1" t="n">
        <v>45386</v>
      </c>
      <c r="C685" s="1" t="n">
        <v>45845</v>
      </c>
      <c r="D685" t="inlineStr">
        <is>
          <t>VÄSTERBOTTENS LÄN</t>
        </is>
      </c>
      <c r="E685" t="inlineStr">
        <is>
          <t>NORSJÖ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14361-2024</t>
        </is>
      </c>
      <c r="B686" s="1" t="n">
        <v>45394</v>
      </c>
      <c r="C686" s="1" t="n">
        <v>45845</v>
      </c>
      <c r="D686" t="inlineStr">
        <is>
          <t>VÄSTERBOTTENS LÄN</t>
        </is>
      </c>
      <c r="E686" t="inlineStr">
        <is>
          <t>NORSJÖ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14998-2024</t>
        </is>
      </c>
      <c r="B687" s="1" t="n">
        <v>45399</v>
      </c>
      <c r="C687" s="1" t="n">
        <v>45845</v>
      </c>
      <c r="D687" t="inlineStr">
        <is>
          <t>VÄSTERBOTTENS LÄN</t>
        </is>
      </c>
      <c r="E687" t="inlineStr">
        <is>
          <t>NORSJÖ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16228-2024</t>
        </is>
      </c>
      <c r="B688" s="1" t="n">
        <v>45406</v>
      </c>
      <c r="C688" s="1" t="n">
        <v>45845</v>
      </c>
      <c r="D688" t="inlineStr">
        <is>
          <t>VÄSTERBOTTENS LÄN</t>
        </is>
      </c>
      <c r="E688" t="inlineStr">
        <is>
          <t>NORSJÖ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16407-2024</t>
        </is>
      </c>
      <c r="B689" s="1" t="n">
        <v>45407</v>
      </c>
      <c r="C689" s="1" t="n">
        <v>45845</v>
      </c>
      <c r="D689" t="inlineStr">
        <is>
          <t>VÄSTERBOTTENS LÄN</t>
        </is>
      </c>
      <c r="E689" t="inlineStr">
        <is>
          <t>NORSJÖ</t>
        </is>
      </c>
      <c r="F689" t="inlineStr">
        <is>
          <t>Sveaskog</t>
        </is>
      </c>
      <c r="G689" t="n">
        <v>11.1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18165-2024</t>
        </is>
      </c>
      <c r="B690" s="1" t="n">
        <v>45420</v>
      </c>
      <c r="C690" s="1" t="n">
        <v>45845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18421-2024</t>
        </is>
      </c>
      <c r="B691" s="1" t="n">
        <v>45425</v>
      </c>
      <c r="C691" s="1" t="n">
        <v>45845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18605-2024</t>
        </is>
      </c>
      <c r="B692" s="1" t="n">
        <v>45425</v>
      </c>
      <c r="C692" s="1" t="n">
        <v>45845</v>
      </c>
      <c r="D692" t="inlineStr">
        <is>
          <t>VÄSTERBOTTENS LÄN</t>
        </is>
      </c>
      <c r="E692" t="inlineStr">
        <is>
          <t>NORSJÖ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18850-2024</t>
        </is>
      </c>
      <c r="B693" s="1" t="n">
        <v>45426</v>
      </c>
      <c r="C693" s="1" t="n">
        <v>45845</v>
      </c>
      <c r="D693" t="inlineStr">
        <is>
          <t>VÄSTERBOTTENS LÄN</t>
        </is>
      </c>
      <c r="E693" t="inlineStr">
        <is>
          <t>NORSJÖ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18853-2024</t>
        </is>
      </c>
      <c r="B694" s="1" t="n">
        <v>45426</v>
      </c>
      <c r="C694" s="1" t="n">
        <v>45845</v>
      </c>
      <c r="D694" t="inlineStr">
        <is>
          <t>VÄSTERBOTTENS LÄN</t>
        </is>
      </c>
      <c r="E694" t="inlineStr">
        <is>
          <t>NORSJÖ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18868-2024</t>
        </is>
      </c>
      <c r="B695" s="1" t="n">
        <v>45426</v>
      </c>
      <c r="C695" s="1" t="n">
        <v>45845</v>
      </c>
      <c r="D695" t="inlineStr">
        <is>
          <t>VÄSTERBOTTENS LÄN</t>
        </is>
      </c>
      <c r="E695" t="inlineStr">
        <is>
          <t>NORSJÖ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19313-2024</t>
        </is>
      </c>
      <c r="B696" s="1" t="n">
        <v>45428</v>
      </c>
      <c r="C696" s="1" t="n">
        <v>45845</v>
      </c>
      <c r="D696" t="inlineStr">
        <is>
          <t>VÄSTERBOTTENS LÄN</t>
        </is>
      </c>
      <c r="E696" t="inlineStr">
        <is>
          <t>NORSJÖ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19412-2024</t>
        </is>
      </c>
      <c r="B697" s="1" t="n">
        <v>45429</v>
      </c>
      <c r="C697" s="1" t="n">
        <v>45845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19472-2024</t>
        </is>
      </c>
      <c r="B698" s="1" t="n">
        <v>45429</v>
      </c>
      <c r="C698" s="1" t="n">
        <v>45845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19731-2024</t>
        </is>
      </c>
      <c r="B699" s="1" t="n">
        <v>45432</v>
      </c>
      <c r="C699" s="1" t="n">
        <v>45845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19796-2024</t>
        </is>
      </c>
      <c r="B700" s="1" t="n">
        <v>45433</v>
      </c>
      <c r="C700" s="1" t="n">
        <v>45845</v>
      </c>
      <c r="D700" t="inlineStr">
        <is>
          <t>VÄSTERBOTTENS LÄN</t>
        </is>
      </c>
      <c r="E700" t="inlineStr">
        <is>
          <t>NORSJÖ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19744-2024</t>
        </is>
      </c>
      <c r="B701" s="1" t="n">
        <v>45432</v>
      </c>
      <c r="C701" s="1" t="n">
        <v>45845</v>
      </c>
      <c r="D701" t="inlineStr">
        <is>
          <t>VÄSTERBOTTENS LÄN</t>
        </is>
      </c>
      <c r="E701" t="inlineStr">
        <is>
          <t>NORSJÖ</t>
        </is>
      </c>
      <c r="F701" t="inlineStr">
        <is>
          <t>Holmen skog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19853-2024</t>
        </is>
      </c>
      <c r="B702" s="1" t="n">
        <v>45433</v>
      </c>
      <c r="C702" s="1" t="n">
        <v>45845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19870-2024</t>
        </is>
      </c>
      <c r="B703" s="1" t="n">
        <v>45433</v>
      </c>
      <c r="C703" s="1" t="n">
        <v>45845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20190-2024</t>
        </is>
      </c>
      <c r="B704" s="1" t="n">
        <v>45434</v>
      </c>
      <c r="C704" s="1" t="n">
        <v>45845</v>
      </c>
      <c r="D704" t="inlineStr">
        <is>
          <t>VÄSTERBOTTENS LÄN</t>
        </is>
      </c>
      <c r="E704" t="inlineStr">
        <is>
          <t>NORSJÖ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20577-2024</t>
        </is>
      </c>
      <c r="B705" s="1" t="n">
        <v>45436</v>
      </c>
      <c r="C705" s="1" t="n">
        <v>45845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21002-2024</t>
        </is>
      </c>
      <c r="B706" s="1" t="n">
        <v>45439</v>
      </c>
      <c r="C706" s="1" t="n">
        <v>45845</v>
      </c>
      <c r="D706" t="inlineStr">
        <is>
          <t>VÄSTERBOTTENS LÄN</t>
        </is>
      </c>
      <c r="E706" t="inlineStr">
        <is>
          <t>NORSJÖ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20997-2024</t>
        </is>
      </c>
      <c r="B707" s="1" t="n">
        <v>45439</v>
      </c>
      <c r="C707" s="1" t="n">
        <v>45845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21012-2024</t>
        </is>
      </c>
      <c r="B708" s="1" t="n">
        <v>45439</v>
      </c>
      <c r="C708" s="1" t="n">
        <v>45845</v>
      </c>
      <c r="D708" t="inlineStr">
        <is>
          <t>VÄSTERBOTTENS LÄN</t>
        </is>
      </c>
      <c r="E708" t="inlineStr">
        <is>
          <t>NORSJÖ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21183-2024</t>
        </is>
      </c>
      <c r="B709" s="1" t="n">
        <v>45440</v>
      </c>
      <c r="C709" s="1" t="n">
        <v>45845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21292-2024</t>
        </is>
      </c>
      <c r="B710" s="1" t="n">
        <v>45440</v>
      </c>
      <c r="C710" s="1" t="n">
        <v>45845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21142-2024</t>
        </is>
      </c>
      <c r="B711" s="1" t="n">
        <v>45440</v>
      </c>
      <c r="C711" s="1" t="n">
        <v>45845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21340-2024</t>
        </is>
      </c>
      <c r="B712" s="1" t="n">
        <v>45441</v>
      </c>
      <c r="C712" s="1" t="n">
        <v>45845</v>
      </c>
      <c r="D712" t="inlineStr">
        <is>
          <t>VÄSTERBOTTENS LÄN</t>
        </is>
      </c>
      <c r="E712" t="inlineStr">
        <is>
          <t>NORSJÖ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21600-2024</t>
        </is>
      </c>
      <c r="B713" s="1" t="n">
        <v>45441</v>
      </c>
      <c r="C713" s="1" t="n">
        <v>45845</v>
      </c>
      <c r="D713" t="inlineStr">
        <is>
          <t>VÄSTERBOTTENS LÄN</t>
        </is>
      </c>
      <c r="E713" t="inlineStr">
        <is>
          <t>NORSJÖ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21746-2024</t>
        </is>
      </c>
      <c r="B714" s="1" t="n">
        <v>45442</v>
      </c>
      <c r="C714" s="1" t="n">
        <v>45845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21832-2024</t>
        </is>
      </c>
      <c r="B715" s="1" t="n">
        <v>45443</v>
      </c>
      <c r="C715" s="1" t="n">
        <v>45845</v>
      </c>
      <c r="D715" t="inlineStr">
        <is>
          <t>VÄSTERBOTTENS LÄN</t>
        </is>
      </c>
      <c r="E715" t="inlineStr">
        <is>
          <t>NORSJÖ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22608-2024</t>
        </is>
      </c>
      <c r="B716" s="1" t="n">
        <v>45447</v>
      </c>
      <c r="C716" s="1" t="n">
        <v>45845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22583-2024</t>
        </is>
      </c>
      <c r="B717" s="1" t="n">
        <v>45447</v>
      </c>
      <c r="C717" s="1" t="n">
        <v>45845</v>
      </c>
      <c r="D717" t="inlineStr">
        <is>
          <t>VÄSTERBOTTENS LÄN</t>
        </is>
      </c>
      <c r="E717" t="inlineStr">
        <is>
          <t>NORSJÖ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22589-2024</t>
        </is>
      </c>
      <c r="B718" s="1" t="n">
        <v>45447</v>
      </c>
      <c r="C718" s="1" t="n">
        <v>45845</v>
      </c>
      <c r="D718" t="inlineStr">
        <is>
          <t>VÄSTERBOTTENS LÄN</t>
        </is>
      </c>
      <c r="E718" t="inlineStr">
        <is>
          <t>NORSJÖ</t>
        </is>
      </c>
      <c r="G718" t="n">
        <v>11.5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23030-2024</t>
        </is>
      </c>
      <c r="B719" s="1" t="n">
        <v>45450</v>
      </c>
      <c r="C719" s="1" t="n">
        <v>45845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23172-2024</t>
        </is>
      </c>
      <c r="B720" s="1" t="n">
        <v>45451</v>
      </c>
      <c r="C720" s="1" t="n">
        <v>45845</v>
      </c>
      <c r="D720" t="inlineStr">
        <is>
          <t>VÄSTERBOTTENS LÄN</t>
        </is>
      </c>
      <c r="E720" t="inlineStr">
        <is>
          <t>NORSJÖ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23170-2024</t>
        </is>
      </c>
      <c r="B721" s="1" t="n">
        <v>45451</v>
      </c>
      <c r="C721" s="1" t="n">
        <v>45845</v>
      </c>
      <c r="D721" t="inlineStr">
        <is>
          <t>VÄSTERBOTTENS LÄN</t>
        </is>
      </c>
      <c r="E721" t="inlineStr">
        <is>
          <t>NORSJÖ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23171-2024</t>
        </is>
      </c>
      <c r="B722" s="1" t="n">
        <v>45450</v>
      </c>
      <c r="C722" s="1" t="n">
        <v>45845</v>
      </c>
      <c r="D722" t="inlineStr">
        <is>
          <t>VÄSTERBOTTENS LÄN</t>
        </is>
      </c>
      <c r="E722" t="inlineStr">
        <is>
          <t>NORSJÖ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23173-2024</t>
        </is>
      </c>
      <c r="B723" s="1" t="n">
        <v>45451</v>
      </c>
      <c r="C723" s="1" t="n">
        <v>45845</v>
      </c>
      <c r="D723" t="inlineStr">
        <is>
          <t>VÄSTERBOTTENS LÄN</t>
        </is>
      </c>
      <c r="E723" t="inlineStr">
        <is>
          <t>NORSJÖ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23509-2024</t>
        </is>
      </c>
      <c r="B724" s="1" t="n">
        <v>45453</v>
      </c>
      <c r="C724" s="1" t="n">
        <v>45845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23575-2024</t>
        </is>
      </c>
      <c r="B725" s="1" t="n">
        <v>45454</v>
      </c>
      <c r="C725" s="1" t="n">
        <v>45845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23622-2024</t>
        </is>
      </c>
      <c r="B726" s="1" t="n">
        <v>45454</v>
      </c>
      <c r="C726" s="1" t="n">
        <v>45845</v>
      </c>
      <c r="D726" t="inlineStr">
        <is>
          <t>VÄSTERBOTTENS LÄN</t>
        </is>
      </c>
      <c r="E726" t="inlineStr">
        <is>
          <t>NORSJÖ</t>
        </is>
      </c>
      <c r="F726" t="inlineStr">
        <is>
          <t>Holmen skog AB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24399-2024</t>
        </is>
      </c>
      <c r="B727" s="1" t="n">
        <v>45457</v>
      </c>
      <c r="C727" s="1" t="n">
        <v>45845</v>
      </c>
      <c r="D727" t="inlineStr">
        <is>
          <t>VÄSTERBOTTENS LÄN</t>
        </is>
      </c>
      <c r="E727" t="inlineStr">
        <is>
          <t>NORSJÖ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24938-2024</t>
        </is>
      </c>
      <c r="B728" s="1" t="n">
        <v>45461</v>
      </c>
      <c r="C728" s="1" t="n">
        <v>45845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25017-2024</t>
        </is>
      </c>
      <c r="B729" s="1" t="n">
        <v>45461</v>
      </c>
      <c r="C729" s="1" t="n">
        <v>45845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25352-2024</t>
        </is>
      </c>
      <c r="B730" s="1" t="n">
        <v>45462</v>
      </c>
      <c r="C730" s="1" t="n">
        <v>45845</v>
      </c>
      <c r="D730" t="inlineStr">
        <is>
          <t>VÄSTERBOTTENS LÄN</t>
        </is>
      </c>
      <c r="E730" t="inlineStr">
        <is>
          <t>NORSJÖ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25161-2024</t>
        </is>
      </c>
      <c r="B731" s="1" t="n">
        <v>45462</v>
      </c>
      <c r="C731" s="1" t="n">
        <v>45845</v>
      </c>
      <c r="D731" t="inlineStr">
        <is>
          <t>VÄSTERBOTTENS LÄN</t>
        </is>
      </c>
      <c r="E731" t="inlineStr">
        <is>
          <t>NORSJÖ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25084-2024</t>
        </is>
      </c>
      <c r="B732" s="1" t="n">
        <v>45462</v>
      </c>
      <c r="C732" s="1" t="n">
        <v>45845</v>
      </c>
      <c r="D732" t="inlineStr">
        <is>
          <t>VÄSTERBOTTENS LÄN</t>
        </is>
      </c>
      <c r="E732" t="inlineStr">
        <is>
          <t>NORSJÖ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25172-2024</t>
        </is>
      </c>
      <c r="B733" s="1" t="n">
        <v>45462</v>
      </c>
      <c r="C733" s="1" t="n">
        <v>45845</v>
      </c>
      <c r="D733" t="inlineStr">
        <is>
          <t>VÄSTERBOTTENS LÄN</t>
        </is>
      </c>
      <c r="E733" t="inlineStr">
        <is>
          <t>NORSJÖ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25080-2024</t>
        </is>
      </c>
      <c r="B734" s="1" t="n">
        <v>45462</v>
      </c>
      <c r="C734" s="1" t="n">
        <v>45845</v>
      </c>
      <c r="D734" t="inlineStr">
        <is>
          <t>VÄSTERBOTTENS LÄN</t>
        </is>
      </c>
      <c r="E734" t="inlineStr">
        <is>
          <t>NORSJÖ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25142-2024</t>
        </is>
      </c>
      <c r="B735" s="1" t="n">
        <v>45462</v>
      </c>
      <c r="C735" s="1" t="n">
        <v>45845</v>
      </c>
      <c r="D735" t="inlineStr">
        <is>
          <t>VÄSTERBOTTENS LÄN</t>
        </is>
      </c>
      <c r="E735" t="inlineStr">
        <is>
          <t>NORSJÖ</t>
        </is>
      </c>
      <c r="F735" t="inlineStr">
        <is>
          <t>Sveaskog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25122-2024</t>
        </is>
      </c>
      <c r="B736" s="1" t="n">
        <v>45462</v>
      </c>
      <c r="C736" s="1" t="n">
        <v>45845</v>
      </c>
      <c r="D736" t="inlineStr">
        <is>
          <t>VÄSTERBOTTENS LÄN</t>
        </is>
      </c>
      <c r="E736" t="inlineStr">
        <is>
          <t>NORSJÖ</t>
        </is>
      </c>
      <c r="F736" t="inlineStr">
        <is>
          <t>Sveaskog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25074-2024</t>
        </is>
      </c>
      <c r="B737" s="1" t="n">
        <v>45462</v>
      </c>
      <c r="C737" s="1" t="n">
        <v>45845</v>
      </c>
      <c r="D737" t="inlineStr">
        <is>
          <t>VÄSTERBOTTENS LÄN</t>
        </is>
      </c>
      <c r="E737" t="inlineStr">
        <is>
          <t>NORSJÖ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25395-2024</t>
        </is>
      </c>
      <c r="B738" s="1" t="n">
        <v>45463</v>
      </c>
      <c r="C738" s="1" t="n">
        <v>45845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25545-2024</t>
        </is>
      </c>
      <c r="B739" s="1" t="n">
        <v>45463</v>
      </c>
      <c r="C739" s="1" t="n">
        <v>45845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25473-2024</t>
        </is>
      </c>
      <c r="B740" s="1" t="n">
        <v>45463</v>
      </c>
      <c r="C740" s="1" t="n">
        <v>45845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25727-2024</t>
        </is>
      </c>
      <c r="B741" s="1" t="n">
        <v>45464</v>
      </c>
      <c r="C741" s="1" t="n">
        <v>45845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26464-2024</t>
        </is>
      </c>
      <c r="B742" s="1" t="n">
        <v>45468</v>
      </c>
      <c r="C742" s="1" t="n">
        <v>45845</v>
      </c>
      <c r="D742" t="inlineStr">
        <is>
          <t>VÄSTERBOTTENS LÄN</t>
        </is>
      </c>
      <c r="E742" t="inlineStr">
        <is>
          <t>NORSJÖ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26385-2024</t>
        </is>
      </c>
      <c r="B743" s="1" t="n">
        <v>45469</v>
      </c>
      <c r="C743" s="1" t="n">
        <v>45845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26541-2024</t>
        </is>
      </c>
      <c r="B744" s="1" t="n">
        <v>45469</v>
      </c>
      <c r="C744" s="1" t="n">
        <v>45845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26704-2024</t>
        </is>
      </c>
      <c r="B745" s="1" t="n">
        <v>45469</v>
      </c>
      <c r="C745" s="1" t="n">
        <v>45845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26720-2024</t>
        </is>
      </c>
      <c r="B746" s="1" t="n">
        <v>45469</v>
      </c>
      <c r="C746" s="1" t="n">
        <v>45845</v>
      </c>
      <c r="D746" t="inlineStr">
        <is>
          <t>VÄSTERBOTTENS LÄN</t>
        </is>
      </c>
      <c r="E746" t="inlineStr">
        <is>
          <t>NORSJÖ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26716-2024</t>
        </is>
      </c>
      <c r="B747" s="1" t="n">
        <v>45469</v>
      </c>
      <c r="C747" s="1" t="n">
        <v>45845</v>
      </c>
      <c r="D747" t="inlineStr">
        <is>
          <t>VÄSTERBOTTENS LÄN</t>
        </is>
      </c>
      <c r="E747" t="inlineStr">
        <is>
          <t>NORSJÖ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26707-2024</t>
        </is>
      </c>
      <c r="B748" s="1" t="n">
        <v>45469</v>
      </c>
      <c r="C748" s="1" t="n">
        <v>45845</v>
      </c>
      <c r="D748" t="inlineStr">
        <is>
          <t>VÄSTERBOTTENS LÄN</t>
        </is>
      </c>
      <c r="E748" t="inlineStr">
        <is>
          <t>NORSJÖ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26931-2024</t>
        </is>
      </c>
      <c r="B749" s="1" t="n">
        <v>45471</v>
      </c>
      <c r="C749" s="1" t="n">
        <v>45845</v>
      </c>
      <c r="D749" t="inlineStr">
        <is>
          <t>VÄSTERBOTTENS LÄN</t>
        </is>
      </c>
      <c r="E749" t="inlineStr">
        <is>
          <t>NORSJÖ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26926-2024</t>
        </is>
      </c>
      <c r="B750" s="1" t="n">
        <v>45470</v>
      </c>
      <c r="C750" s="1" t="n">
        <v>45845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26870-2024</t>
        </is>
      </c>
      <c r="B751" s="1" t="n">
        <v>45470</v>
      </c>
      <c r="C751" s="1" t="n">
        <v>45845</v>
      </c>
      <c r="D751" t="inlineStr">
        <is>
          <t>VÄSTERBOTTENS LÄN</t>
        </is>
      </c>
      <c r="E751" t="inlineStr">
        <is>
          <t>NORSJÖ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26978-2024</t>
        </is>
      </c>
      <c r="B752" s="1" t="n">
        <v>45471</v>
      </c>
      <c r="C752" s="1" t="n">
        <v>45845</v>
      </c>
      <c r="D752" t="inlineStr">
        <is>
          <t>VÄSTERBOTTENS LÄN</t>
        </is>
      </c>
      <c r="E752" t="inlineStr">
        <is>
          <t>NORSJÖ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27131-2024</t>
        </is>
      </c>
      <c r="B753" s="1" t="n">
        <v>45471</v>
      </c>
      <c r="C753" s="1" t="n">
        <v>45845</v>
      </c>
      <c r="D753" t="inlineStr">
        <is>
          <t>VÄSTERBOTTENS LÄN</t>
        </is>
      </c>
      <c r="E753" t="inlineStr">
        <is>
          <t>NORSJÖ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27282-2024</t>
        </is>
      </c>
      <c r="B754" s="1" t="n">
        <v>45472</v>
      </c>
      <c r="C754" s="1" t="n">
        <v>45845</v>
      </c>
      <c r="D754" t="inlineStr">
        <is>
          <t>VÄSTERBOTTENS LÄN</t>
        </is>
      </c>
      <c r="E754" t="inlineStr">
        <is>
          <t>NORSJÖ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27457-2024</t>
        </is>
      </c>
      <c r="B755" s="1" t="n">
        <v>45474</v>
      </c>
      <c r="C755" s="1" t="n">
        <v>45845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20.6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28808-2024</t>
        </is>
      </c>
      <c r="B756" s="1" t="n">
        <v>45478</v>
      </c>
      <c r="C756" s="1" t="n">
        <v>45845</v>
      </c>
      <c r="D756" t="inlineStr">
        <is>
          <t>VÄSTERBOTTENS LÄN</t>
        </is>
      </c>
      <c r="E756" t="inlineStr">
        <is>
          <t>NORSJÖ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28805-2024</t>
        </is>
      </c>
      <c r="B757" s="1" t="n">
        <v>45478</v>
      </c>
      <c r="C757" s="1" t="n">
        <v>45845</v>
      </c>
      <c r="D757" t="inlineStr">
        <is>
          <t>VÄSTERBOTTENS LÄN</t>
        </is>
      </c>
      <c r="E757" t="inlineStr">
        <is>
          <t>NORSJÖ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28858-2024</t>
        </is>
      </c>
      <c r="B758" s="1" t="n">
        <v>45479</v>
      </c>
      <c r="C758" s="1" t="n">
        <v>45845</v>
      </c>
      <c r="D758" t="inlineStr">
        <is>
          <t>VÄSTERBOTTENS LÄN</t>
        </is>
      </c>
      <c r="E758" t="inlineStr">
        <is>
          <t>NORSJÖ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28802-2024</t>
        </is>
      </c>
      <c r="B759" s="1" t="n">
        <v>45478</v>
      </c>
      <c r="C759" s="1" t="n">
        <v>45845</v>
      </c>
      <c r="D759" t="inlineStr">
        <is>
          <t>VÄSTERBOTTENS LÄN</t>
        </is>
      </c>
      <c r="E759" t="inlineStr">
        <is>
          <t>NORSJÖ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28649-2024</t>
        </is>
      </c>
      <c r="B760" s="1" t="n">
        <v>45478</v>
      </c>
      <c r="C760" s="1" t="n">
        <v>45845</v>
      </c>
      <c r="D760" t="inlineStr">
        <is>
          <t>VÄSTERBOTTENS LÄN</t>
        </is>
      </c>
      <c r="E760" t="inlineStr">
        <is>
          <t>NORSJÖ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29042-2024</t>
        </is>
      </c>
      <c r="B761" s="1" t="n">
        <v>45481</v>
      </c>
      <c r="C761" s="1" t="n">
        <v>45845</v>
      </c>
      <c r="D761" t="inlineStr">
        <is>
          <t>VÄSTERBOTTENS LÄN</t>
        </is>
      </c>
      <c r="E761" t="inlineStr">
        <is>
          <t>NORSJÖ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29121-2024</t>
        </is>
      </c>
      <c r="B762" s="1" t="n">
        <v>45482</v>
      </c>
      <c r="C762" s="1" t="n">
        <v>45845</v>
      </c>
      <c r="D762" t="inlineStr">
        <is>
          <t>VÄSTERBOTTENS LÄN</t>
        </is>
      </c>
      <c r="E762" t="inlineStr">
        <is>
          <t>NORSJÖ</t>
        </is>
      </c>
      <c r="F762" t="inlineStr">
        <is>
          <t>Holmen skog AB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30023-2024</t>
        </is>
      </c>
      <c r="B763" s="1" t="n">
        <v>45485</v>
      </c>
      <c r="C763" s="1" t="n">
        <v>45845</v>
      </c>
      <c r="D763" t="inlineStr">
        <is>
          <t>VÄSTERBOTTENS LÄN</t>
        </is>
      </c>
      <c r="E763" t="inlineStr">
        <is>
          <t>NORSJÖ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29714-2024</t>
        </is>
      </c>
      <c r="B764" s="1" t="n">
        <v>45485</v>
      </c>
      <c r="C764" s="1" t="n">
        <v>45845</v>
      </c>
      <c r="D764" t="inlineStr">
        <is>
          <t>VÄSTERBOTTENS LÄN</t>
        </is>
      </c>
      <c r="E764" t="inlineStr">
        <is>
          <t>NORSJÖ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29733-2024</t>
        </is>
      </c>
      <c r="B765" s="1" t="n">
        <v>45485</v>
      </c>
      <c r="C765" s="1" t="n">
        <v>45845</v>
      </c>
      <c r="D765" t="inlineStr">
        <is>
          <t>VÄSTERBOTTENS LÄN</t>
        </is>
      </c>
      <c r="E765" t="inlineStr">
        <is>
          <t>NORSJÖ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30019-2024</t>
        </is>
      </c>
      <c r="B766" s="1" t="n">
        <v>45485</v>
      </c>
      <c r="C766" s="1" t="n">
        <v>45845</v>
      </c>
      <c r="D766" t="inlineStr">
        <is>
          <t>VÄSTERBOTTENS LÄN</t>
        </is>
      </c>
      <c r="E766" t="inlineStr">
        <is>
          <t>NORSJÖ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30027-2024</t>
        </is>
      </c>
      <c r="B767" s="1" t="n">
        <v>45488</v>
      </c>
      <c r="C767" s="1" t="n">
        <v>45845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30967-2024</t>
        </is>
      </c>
      <c r="B768" s="1" t="n">
        <v>45499</v>
      </c>
      <c r="C768" s="1" t="n">
        <v>45845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31275-2024</t>
        </is>
      </c>
      <c r="B769" s="1" t="n">
        <v>45504</v>
      </c>
      <c r="C769" s="1" t="n">
        <v>45845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31956-2024</t>
        </is>
      </c>
      <c r="B770" s="1" t="n">
        <v>45510</v>
      </c>
      <c r="C770" s="1" t="n">
        <v>45845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32051-2024</t>
        </is>
      </c>
      <c r="B771" s="1" t="n">
        <v>45511</v>
      </c>
      <c r="C771" s="1" t="n">
        <v>45845</v>
      </c>
      <c r="D771" t="inlineStr">
        <is>
          <t>VÄSTERBOTTENS LÄN</t>
        </is>
      </c>
      <c r="E771" t="inlineStr">
        <is>
          <t>NORSJÖ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31901-2024</t>
        </is>
      </c>
      <c r="B772" s="1" t="n">
        <v>45510</v>
      </c>
      <c r="C772" s="1" t="n">
        <v>45845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32115-2024</t>
        </is>
      </c>
      <c r="B773" s="1" t="n">
        <v>45511</v>
      </c>
      <c r="C773" s="1" t="n">
        <v>45845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32139-2024</t>
        </is>
      </c>
      <c r="B774" s="1" t="n">
        <v>45511</v>
      </c>
      <c r="C774" s="1" t="n">
        <v>45845</v>
      </c>
      <c r="D774" t="inlineStr">
        <is>
          <t>VÄSTERBOTTENS LÄN</t>
        </is>
      </c>
      <c r="E774" t="inlineStr">
        <is>
          <t>NORSJÖ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32236-2024</t>
        </is>
      </c>
      <c r="B775" s="1" t="n">
        <v>45512</v>
      </c>
      <c r="C775" s="1" t="n">
        <v>45845</v>
      </c>
      <c r="D775" t="inlineStr">
        <is>
          <t>VÄSTERBOTTENS LÄN</t>
        </is>
      </c>
      <c r="E775" t="inlineStr">
        <is>
          <t>NORSJÖ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32240-2024</t>
        </is>
      </c>
      <c r="B776" s="1" t="n">
        <v>45512</v>
      </c>
      <c r="C776" s="1" t="n">
        <v>45845</v>
      </c>
      <c r="D776" t="inlineStr">
        <is>
          <t>VÄSTERBOTTENS LÄN</t>
        </is>
      </c>
      <c r="E776" t="inlineStr">
        <is>
          <t>NORSJÖ</t>
        </is>
      </c>
      <c r="G776" t="n">
        <v>16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32183-2024</t>
        </is>
      </c>
      <c r="B777" s="1" t="n">
        <v>45511</v>
      </c>
      <c r="C777" s="1" t="n">
        <v>45845</v>
      </c>
      <c r="D777" t="inlineStr">
        <is>
          <t>VÄSTERBOTTENS LÄN</t>
        </is>
      </c>
      <c r="E777" t="inlineStr">
        <is>
          <t>NORSJÖ</t>
        </is>
      </c>
      <c r="G777" t="n">
        <v>9.800000000000001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32216-2024</t>
        </is>
      </c>
      <c r="B778" s="1" t="n">
        <v>45512</v>
      </c>
      <c r="C778" s="1" t="n">
        <v>45845</v>
      </c>
      <c r="D778" t="inlineStr">
        <is>
          <t>VÄSTERBOTTENS LÄN</t>
        </is>
      </c>
      <c r="E778" t="inlineStr">
        <is>
          <t>NORSJÖ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32228-2024</t>
        </is>
      </c>
      <c r="B779" s="1" t="n">
        <v>45512</v>
      </c>
      <c r="C779" s="1" t="n">
        <v>45845</v>
      </c>
      <c r="D779" t="inlineStr">
        <is>
          <t>VÄSTERBOTTENS LÄN</t>
        </is>
      </c>
      <c r="E779" t="inlineStr">
        <is>
          <t>NORSJÖ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32227-2024</t>
        </is>
      </c>
      <c r="B780" s="1" t="n">
        <v>45512</v>
      </c>
      <c r="C780" s="1" t="n">
        <v>45845</v>
      </c>
      <c r="D780" t="inlineStr">
        <is>
          <t>VÄSTERBOTTENS LÄN</t>
        </is>
      </c>
      <c r="E780" t="inlineStr">
        <is>
          <t>NORSJÖ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32239-2024</t>
        </is>
      </c>
      <c r="B781" s="1" t="n">
        <v>45512</v>
      </c>
      <c r="C781" s="1" t="n">
        <v>45845</v>
      </c>
      <c r="D781" t="inlineStr">
        <is>
          <t>VÄSTERBOTTENS LÄN</t>
        </is>
      </c>
      <c r="E781" t="inlineStr">
        <is>
          <t>NORSJÖ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32231-2024</t>
        </is>
      </c>
      <c r="B782" s="1" t="n">
        <v>45512</v>
      </c>
      <c r="C782" s="1" t="n">
        <v>45845</v>
      </c>
      <c r="D782" t="inlineStr">
        <is>
          <t>VÄSTERBOTTENS LÄN</t>
        </is>
      </c>
      <c r="E782" t="inlineStr">
        <is>
          <t>NORSJÖ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32235-2024</t>
        </is>
      </c>
      <c r="B783" s="1" t="n">
        <v>45512</v>
      </c>
      <c r="C783" s="1" t="n">
        <v>45845</v>
      </c>
      <c r="D783" t="inlineStr">
        <is>
          <t>VÄSTERBOTTENS LÄN</t>
        </is>
      </c>
      <c r="E783" t="inlineStr">
        <is>
          <t>NORSJÖ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32234-2024</t>
        </is>
      </c>
      <c r="B784" s="1" t="n">
        <v>45512</v>
      </c>
      <c r="C784" s="1" t="n">
        <v>45845</v>
      </c>
      <c r="D784" t="inlineStr">
        <is>
          <t>VÄSTERBOTTENS LÄN</t>
        </is>
      </c>
      <c r="E784" t="inlineStr">
        <is>
          <t>NORSJÖ</t>
        </is>
      </c>
      <c r="G784" t="n">
        <v>10.9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32230-2024</t>
        </is>
      </c>
      <c r="B785" s="1" t="n">
        <v>45512</v>
      </c>
      <c r="C785" s="1" t="n">
        <v>45845</v>
      </c>
      <c r="D785" t="inlineStr">
        <is>
          <t>VÄSTERBOTTENS LÄN</t>
        </is>
      </c>
      <c r="E785" t="inlineStr">
        <is>
          <t>NORSJÖ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32226-2024</t>
        </is>
      </c>
      <c r="B786" s="1" t="n">
        <v>45512</v>
      </c>
      <c r="C786" s="1" t="n">
        <v>45845</v>
      </c>
      <c r="D786" t="inlineStr">
        <is>
          <t>VÄSTERBOTTENS LÄN</t>
        </is>
      </c>
      <c r="E786" t="inlineStr">
        <is>
          <t>NORSJÖ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32229-2024</t>
        </is>
      </c>
      <c r="B787" s="1" t="n">
        <v>45512</v>
      </c>
      <c r="C787" s="1" t="n">
        <v>45845</v>
      </c>
      <c r="D787" t="inlineStr">
        <is>
          <t>VÄSTERBOTTENS LÄN</t>
        </is>
      </c>
      <c r="E787" t="inlineStr">
        <is>
          <t>NORSJÖ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32241-2024</t>
        </is>
      </c>
      <c r="B788" s="1" t="n">
        <v>45512</v>
      </c>
      <c r="C788" s="1" t="n">
        <v>45845</v>
      </c>
      <c r="D788" t="inlineStr">
        <is>
          <t>VÄSTERBOTTENS LÄN</t>
        </is>
      </c>
      <c r="E788" t="inlineStr">
        <is>
          <t>NORSJÖ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32542-2024</t>
        </is>
      </c>
      <c r="B789" s="1" t="n">
        <v>45513</v>
      </c>
      <c r="C789" s="1" t="n">
        <v>45845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32594-2024</t>
        </is>
      </c>
      <c r="B790" s="1" t="n">
        <v>45513</v>
      </c>
      <c r="C790" s="1" t="n">
        <v>45845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32891-2024</t>
        </is>
      </c>
      <c r="B791" s="1" t="n">
        <v>45516</v>
      </c>
      <c r="C791" s="1" t="n">
        <v>45845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32716-2024</t>
        </is>
      </c>
      <c r="B792" s="1" t="n">
        <v>45516</v>
      </c>
      <c r="C792" s="1" t="n">
        <v>45845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32896-2024</t>
        </is>
      </c>
      <c r="B793" s="1" t="n">
        <v>45516</v>
      </c>
      <c r="C793" s="1" t="n">
        <v>45845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32693-2024</t>
        </is>
      </c>
      <c r="B794" s="1" t="n">
        <v>45516</v>
      </c>
      <c r="C794" s="1" t="n">
        <v>45845</v>
      </c>
      <c r="D794" t="inlineStr">
        <is>
          <t>VÄSTERBOTTENS LÄN</t>
        </is>
      </c>
      <c r="E794" t="inlineStr">
        <is>
          <t>NORSJÖ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33080-2024</t>
        </is>
      </c>
      <c r="B795" s="1" t="n">
        <v>45517</v>
      </c>
      <c r="C795" s="1" t="n">
        <v>45845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25.2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33093-2024</t>
        </is>
      </c>
      <c r="B796" s="1" t="n">
        <v>45517</v>
      </c>
      <c r="C796" s="1" t="n">
        <v>45845</v>
      </c>
      <c r="D796" t="inlineStr">
        <is>
          <t>VÄSTERBOTTENS LÄN</t>
        </is>
      </c>
      <c r="E796" t="inlineStr">
        <is>
          <t>NORSJÖ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33062-2024</t>
        </is>
      </c>
      <c r="B797" s="1" t="n">
        <v>45517</v>
      </c>
      <c r="C797" s="1" t="n">
        <v>45845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33039-2024</t>
        </is>
      </c>
      <c r="B798" s="1" t="n">
        <v>45517</v>
      </c>
      <c r="C798" s="1" t="n">
        <v>45845</v>
      </c>
      <c r="D798" t="inlineStr">
        <is>
          <t>VÄSTERBOTTENS LÄN</t>
        </is>
      </c>
      <c r="E798" t="inlineStr">
        <is>
          <t>NORSJÖ</t>
        </is>
      </c>
      <c r="F798" t="inlineStr">
        <is>
          <t>Sveaskog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33433-2024</t>
        </is>
      </c>
      <c r="B799" s="1" t="n">
        <v>45519</v>
      </c>
      <c r="C799" s="1" t="n">
        <v>45845</v>
      </c>
      <c r="D799" t="inlineStr">
        <is>
          <t>VÄSTERBOTTENS LÄN</t>
        </is>
      </c>
      <c r="E799" t="inlineStr">
        <is>
          <t>NORSJÖ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33455-2024</t>
        </is>
      </c>
      <c r="B800" s="1" t="n">
        <v>45519</v>
      </c>
      <c r="C800" s="1" t="n">
        <v>45845</v>
      </c>
      <c r="D800" t="inlineStr">
        <is>
          <t>VÄSTERBOTTENS LÄN</t>
        </is>
      </c>
      <c r="E800" t="inlineStr">
        <is>
          <t>NORSJÖ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33460-2024</t>
        </is>
      </c>
      <c r="B801" s="1" t="n">
        <v>45519</v>
      </c>
      <c r="C801" s="1" t="n">
        <v>45845</v>
      </c>
      <c r="D801" t="inlineStr">
        <is>
          <t>VÄSTERBOTTENS LÄN</t>
        </is>
      </c>
      <c r="E801" t="inlineStr">
        <is>
          <t>NORSJÖ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33995-2024</t>
        </is>
      </c>
      <c r="B802" s="1" t="n">
        <v>45523</v>
      </c>
      <c r="C802" s="1" t="n">
        <v>45845</v>
      </c>
      <c r="D802" t="inlineStr">
        <is>
          <t>VÄSTERBOTTENS LÄN</t>
        </is>
      </c>
      <c r="E802" t="inlineStr">
        <is>
          <t>NORSJÖ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34317-2024</t>
        </is>
      </c>
      <c r="B803" s="1" t="n">
        <v>45524</v>
      </c>
      <c r="C803" s="1" t="n">
        <v>45845</v>
      </c>
      <c r="D803" t="inlineStr">
        <is>
          <t>VÄSTERBOTTENS LÄN</t>
        </is>
      </c>
      <c r="E803" t="inlineStr">
        <is>
          <t>NORSJÖ</t>
        </is>
      </c>
      <c r="F803" t="inlineStr">
        <is>
          <t>Holmen skog AB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34542-2024</t>
        </is>
      </c>
      <c r="B804" s="1" t="n">
        <v>45525</v>
      </c>
      <c r="C804" s="1" t="n">
        <v>45845</v>
      </c>
      <c r="D804" t="inlineStr">
        <is>
          <t>VÄSTERBOTTENS LÄN</t>
        </is>
      </c>
      <c r="E804" t="inlineStr">
        <is>
          <t>NORSJÖ</t>
        </is>
      </c>
      <c r="F804" t="inlineStr">
        <is>
          <t>Holmen skog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34546-2024</t>
        </is>
      </c>
      <c r="B805" s="1" t="n">
        <v>45525</v>
      </c>
      <c r="C805" s="1" t="n">
        <v>45845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34602-2024</t>
        </is>
      </c>
      <c r="B806" s="1" t="n">
        <v>45526</v>
      </c>
      <c r="C806" s="1" t="n">
        <v>45845</v>
      </c>
      <c r="D806" t="inlineStr">
        <is>
          <t>VÄSTERBOTTENS LÄN</t>
        </is>
      </c>
      <c r="E806" t="inlineStr">
        <is>
          <t>NORSJÖ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34616-2024</t>
        </is>
      </c>
      <c r="B807" s="1" t="n">
        <v>45526</v>
      </c>
      <c r="C807" s="1" t="n">
        <v>45845</v>
      </c>
      <c r="D807" t="inlineStr">
        <is>
          <t>VÄSTERBOTTENS LÄN</t>
        </is>
      </c>
      <c r="E807" t="inlineStr">
        <is>
          <t>NORSJÖ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34592-2024</t>
        </is>
      </c>
      <c r="B808" s="1" t="n">
        <v>45526</v>
      </c>
      <c r="C808" s="1" t="n">
        <v>45845</v>
      </c>
      <c r="D808" t="inlineStr">
        <is>
          <t>VÄSTERBOTTENS LÄN</t>
        </is>
      </c>
      <c r="E808" t="inlineStr">
        <is>
          <t>NORSJÖ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34945-2024</t>
        </is>
      </c>
      <c r="B809" s="1" t="n">
        <v>45527</v>
      </c>
      <c r="C809" s="1" t="n">
        <v>45845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35179-2024</t>
        </is>
      </c>
      <c r="B810" s="1" t="n">
        <v>45530</v>
      </c>
      <c r="C810" s="1" t="n">
        <v>45845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35181-2024</t>
        </is>
      </c>
      <c r="B811" s="1" t="n">
        <v>45530</v>
      </c>
      <c r="C811" s="1" t="n">
        <v>45845</v>
      </c>
      <c r="D811" t="inlineStr">
        <is>
          <t>VÄSTERBOTTENS LÄN</t>
        </is>
      </c>
      <c r="E811" t="inlineStr">
        <is>
          <t>NORSJÖ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35433-2024</t>
        </is>
      </c>
      <c r="B812" s="1" t="n">
        <v>45531</v>
      </c>
      <c r="C812" s="1" t="n">
        <v>45845</v>
      </c>
      <c r="D812" t="inlineStr">
        <is>
          <t>VÄSTERBOTTENS LÄN</t>
        </is>
      </c>
      <c r="E812" t="inlineStr">
        <is>
          <t>NORSJÖ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35689-2024</t>
        </is>
      </c>
      <c r="B813" s="1" t="n">
        <v>45532</v>
      </c>
      <c r="C813" s="1" t="n">
        <v>45845</v>
      </c>
      <c r="D813" t="inlineStr">
        <is>
          <t>VÄSTERBOTTENS LÄN</t>
        </is>
      </c>
      <c r="E813" t="inlineStr">
        <is>
          <t>NORSJÖ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35796-2024</t>
        </is>
      </c>
      <c r="B814" s="1" t="n">
        <v>45532</v>
      </c>
      <c r="C814" s="1" t="n">
        <v>45845</v>
      </c>
      <c r="D814" t="inlineStr">
        <is>
          <t>VÄSTERBOTTENS LÄN</t>
        </is>
      </c>
      <c r="E814" t="inlineStr">
        <is>
          <t>NORSJÖ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35935-2024</t>
        </is>
      </c>
      <c r="B815" s="1" t="n">
        <v>45533</v>
      </c>
      <c r="C815" s="1" t="n">
        <v>45845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36209-2024</t>
        </is>
      </c>
      <c r="B816" s="1" t="n">
        <v>45534</v>
      </c>
      <c r="C816" s="1" t="n">
        <v>45845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36245-2024</t>
        </is>
      </c>
      <c r="B817" s="1" t="n">
        <v>45534</v>
      </c>
      <c r="C817" s="1" t="n">
        <v>45845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36314-2024</t>
        </is>
      </c>
      <c r="B818" s="1" t="n">
        <v>45534</v>
      </c>
      <c r="C818" s="1" t="n">
        <v>45845</v>
      </c>
      <c r="D818" t="inlineStr">
        <is>
          <t>VÄSTERBOTTENS LÄN</t>
        </is>
      </c>
      <c r="E818" t="inlineStr">
        <is>
          <t>NORSJÖ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36473-2024</t>
        </is>
      </c>
      <c r="B819" s="1" t="n">
        <v>45537</v>
      </c>
      <c r="C819" s="1" t="n">
        <v>45845</v>
      </c>
      <c r="D819" t="inlineStr">
        <is>
          <t>VÄSTERBOTTENS LÄN</t>
        </is>
      </c>
      <c r="E819" t="inlineStr">
        <is>
          <t>NORSJÖ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36501-2024</t>
        </is>
      </c>
      <c r="B820" s="1" t="n">
        <v>45537</v>
      </c>
      <c r="C820" s="1" t="n">
        <v>45845</v>
      </c>
      <c r="D820" t="inlineStr">
        <is>
          <t>VÄSTERBOTTENS LÄN</t>
        </is>
      </c>
      <c r="E820" t="inlineStr">
        <is>
          <t>NORSJÖ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36585-2024</t>
        </is>
      </c>
      <c r="B821" s="1" t="n">
        <v>45537</v>
      </c>
      <c r="C821" s="1" t="n">
        <v>45845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36705-2024</t>
        </is>
      </c>
      <c r="B822" s="1" t="n">
        <v>45537</v>
      </c>
      <c r="C822" s="1" t="n">
        <v>45845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36874-2024</t>
        </is>
      </c>
      <c r="B823" s="1" t="n">
        <v>45538</v>
      </c>
      <c r="C823" s="1" t="n">
        <v>45845</v>
      </c>
      <c r="D823" t="inlineStr">
        <is>
          <t>VÄSTERBOTTENS LÄN</t>
        </is>
      </c>
      <c r="E823" t="inlineStr">
        <is>
          <t>NORSJÖ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37013-2024</t>
        </is>
      </c>
      <c r="B824" s="1" t="n">
        <v>45539</v>
      </c>
      <c r="C824" s="1" t="n">
        <v>45845</v>
      </c>
      <c r="D824" t="inlineStr">
        <is>
          <t>VÄSTERBOTTENS LÄN</t>
        </is>
      </c>
      <c r="E824" t="inlineStr">
        <is>
          <t>NORSJÖ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37428-2024</t>
        </is>
      </c>
      <c r="B825" s="1" t="n">
        <v>45540</v>
      </c>
      <c r="C825" s="1" t="n">
        <v>45845</v>
      </c>
      <c r="D825" t="inlineStr">
        <is>
          <t>VÄSTERBOTTENS LÄN</t>
        </is>
      </c>
      <c r="E825" t="inlineStr">
        <is>
          <t>NORSJÖ</t>
        </is>
      </c>
      <c r="F825" t="inlineStr">
        <is>
          <t>Holmen skog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37252-2024</t>
        </is>
      </c>
      <c r="B826" s="1" t="n">
        <v>45540</v>
      </c>
      <c r="C826" s="1" t="n">
        <v>45845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37395-2024</t>
        </is>
      </c>
      <c r="B827" s="1" t="n">
        <v>45540</v>
      </c>
      <c r="C827" s="1" t="n">
        <v>45845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37490-2024</t>
        </is>
      </c>
      <c r="B828" s="1" t="n">
        <v>45541</v>
      </c>
      <c r="C828" s="1" t="n">
        <v>45845</v>
      </c>
      <c r="D828" t="inlineStr">
        <is>
          <t>VÄSTERBOTTENS LÄN</t>
        </is>
      </c>
      <c r="E828" t="inlineStr">
        <is>
          <t>NORSJÖ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37480-2024</t>
        </is>
      </c>
      <c r="B829" s="1" t="n">
        <v>45541</v>
      </c>
      <c r="C829" s="1" t="n">
        <v>45845</v>
      </c>
      <c r="D829" t="inlineStr">
        <is>
          <t>VÄSTERBOTTENS LÄN</t>
        </is>
      </c>
      <c r="E829" t="inlineStr">
        <is>
          <t>NORSJÖ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37484-2024</t>
        </is>
      </c>
      <c r="B830" s="1" t="n">
        <v>45541</v>
      </c>
      <c r="C830" s="1" t="n">
        <v>45845</v>
      </c>
      <c r="D830" t="inlineStr">
        <is>
          <t>VÄSTERBOTTENS LÄN</t>
        </is>
      </c>
      <c r="E830" t="inlineStr">
        <is>
          <t>NORSJÖ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37496-2024</t>
        </is>
      </c>
      <c r="B831" s="1" t="n">
        <v>45541</v>
      </c>
      <c r="C831" s="1" t="n">
        <v>45845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37569-2024</t>
        </is>
      </c>
      <c r="B832" s="1" t="n">
        <v>45541</v>
      </c>
      <c r="C832" s="1" t="n">
        <v>45845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37494-2024</t>
        </is>
      </c>
      <c r="B833" s="1" t="n">
        <v>45541</v>
      </c>
      <c r="C833" s="1" t="n">
        <v>45845</v>
      </c>
      <c r="D833" t="inlineStr">
        <is>
          <t>VÄSTERBOTTENS LÄN</t>
        </is>
      </c>
      <c r="E833" t="inlineStr">
        <is>
          <t>NORSJÖ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37493-2024</t>
        </is>
      </c>
      <c r="B834" s="1" t="n">
        <v>45541</v>
      </c>
      <c r="C834" s="1" t="n">
        <v>45845</v>
      </c>
      <c r="D834" t="inlineStr">
        <is>
          <t>VÄSTERBOTTENS LÄN</t>
        </is>
      </c>
      <c r="E834" t="inlineStr">
        <is>
          <t>NORSJÖ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37497-2024</t>
        </is>
      </c>
      <c r="B835" s="1" t="n">
        <v>45541</v>
      </c>
      <c r="C835" s="1" t="n">
        <v>45845</v>
      </c>
      <c r="D835" t="inlineStr">
        <is>
          <t>VÄSTERBOTTENS LÄN</t>
        </is>
      </c>
      <c r="E835" t="inlineStr">
        <is>
          <t>NORSJÖ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37847-2024</t>
        </is>
      </c>
      <c r="B836" s="1" t="n">
        <v>45544</v>
      </c>
      <c r="C836" s="1" t="n">
        <v>45845</v>
      </c>
      <c r="D836" t="inlineStr">
        <is>
          <t>VÄSTERBOTTENS LÄN</t>
        </is>
      </c>
      <c r="E836" t="inlineStr">
        <is>
          <t>NORSJÖ</t>
        </is>
      </c>
      <c r="G836" t="n">
        <v>11.5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38012-2024</t>
        </is>
      </c>
      <c r="B837" s="1" t="n">
        <v>45544</v>
      </c>
      <c r="C837" s="1" t="n">
        <v>45845</v>
      </c>
      <c r="D837" t="inlineStr">
        <is>
          <t>VÄSTERBOTTENS LÄN</t>
        </is>
      </c>
      <c r="E837" t="inlineStr">
        <is>
          <t>NORSJÖ</t>
        </is>
      </c>
      <c r="F837" t="inlineStr">
        <is>
          <t>Naturvårdsverket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38145-2024</t>
        </is>
      </c>
      <c r="B838" s="1" t="n">
        <v>45545</v>
      </c>
      <c r="C838" s="1" t="n">
        <v>45845</v>
      </c>
      <c r="D838" t="inlineStr">
        <is>
          <t>VÄSTERBOTTENS LÄN</t>
        </is>
      </c>
      <c r="E838" t="inlineStr">
        <is>
          <t>NORSJÖ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38318-2024</t>
        </is>
      </c>
      <c r="B839" s="1" t="n">
        <v>45545</v>
      </c>
      <c r="C839" s="1" t="n">
        <v>45845</v>
      </c>
      <c r="D839" t="inlineStr">
        <is>
          <t>VÄSTERBOTTENS LÄN</t>
        </is>
      </c>
      <c r="E839" t="inlineStr">
        <is>
          <t>NORSJÖ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38686-2024</t>
        </is>
      </c>
      <c r="B840" s="1" t="n">
        <v>45547</v>
      </c>
      <c r="C840" s="1" t="n">
        <v>45845</v>
      </c>
      <c r="D840" t="inlineStr">
        <is>
          <t>VÄSTERBOTTENS LÄN</t>
        </is>
      </c>
      <c r="E840" t="inlineStr">
        <is>
          <t>NORSJÖ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38685-2024</t>
        </is>
      </c>
      <c r="B841" s="1" t="n">
        <v>45547</v>
      </c>
      <c r="C841" s="1" t="n">
        <v>45845</v>
      </c>
      <c r="D841" t="inlineStr">
        <is>
          <t>VÄSTERBOTTENS LÄN</t>
        </is>
      </c>
      <c r="E841" t="inlineStr">
        <is>
          <t>NORSJÖ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38689-2024</t>
        </is>
      </c>
      <c r="B842" s="1" t="n">
        <v>45547</v>
      </c>
      <c r="C842" s="1" t="n">
        <v>45845</v>
      </c>
      <c r="D842" t="inlineStr">
        <is>
          <t>VÄSTERBOTTENS LÄN</t>
        </is>
      </c>
      <c r="E842" t="inlineStr">
        <is>
          <t>NORSJÖ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38850-2024</t>
        </is>
      </c>
      <c r="B843" s="1" t="n">
        <v>45547</v>
      </c>
      <c r="C843" s="1" t="n">
        <v>45845</v>
      </c>
      <c r="D843" t="inlineStr">
        <is>
          <t>VÄSTERBOTTENS LÄN</t>
        </is>
      </c>
      <c r="E843" t="inlineStr">
        <is>
          <t>NORSJÖ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38832-2024</t>
        </is>
      </c>
      <c r="B844" s="1" t="n">
        <v>45547</v>
      </c>
      <c r="C844" s="1" t="n">
        <v>45845</v>
      </c>
      <c r="D844" t="inlineStr">
        <is>
          <t>VÄSTERBOTTENS LÄN</t>
        </is>
      </c>
      <c r="E844" t="inlineStr">
        <is>
          <t>NORSJÖ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39067-2024</t>
        </is>
      </c>
      <c r="B845" s="1" t="n">
        <v>45548</v>
      </c>
      <c r="C845" s="1" t="n">
        <v>45845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39289-2024</t>
        </is>
      </c>
      <c r="B846" s="1" t="n">
        <v>45551</v>
      </c>
      <c r="C846" s="1" t="n">
        <v>45845</v>
      </c>
      <c r="D846" t="inlineStr">
        <is>
          <t>VÄSTERBOTTENS LÄN</t>
        </is>
      </c>
      <c r="E846" t="inlineStr">
        <is>
          <t>NORSJÖ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39288-2024</t>
        </is>
      </c>
      <c r="B847" s="1" t="n">
        <v>45551</v>
      </c>
      <c r="C847" s="1" t="n">
        <v>45845</v>
      </c>
      <c r="D847" t="inlineStr">
        <is>
          <t>VÄSTERBOTTENS LÄN</t>
        </is>
      </c>
      <c r="E847" t="inlineStr">
        <is>
          <t>NORSJÖ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39335-2024</t>
        </is>
      </c>
      <c r="B848" s="1" t="n">
        <v>45551</v>
      </c>
      <c r="C848" s="1" t="n">
        <v>45845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39343-2024</t>
        </is>
      </c>
      <c r="B849" s="1" t="n">
        <v>45551</v>
      </c>
      <c r="C849" s="1" t="n">
        <v>45845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39353-2024</t>
        </is>
      </c>
      <c r="B850" s="1" t="n">
        <v>45551</v>
      </c>
      <c r="C850" s="1" t="n">
        <v>45845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39400-2024</t>
        </is>
      </c>
      <c r="B851" s="1" t="n">
        <v>45551</v>
      </c>
      <c r="C851" s="1" t="n">
        <v>45845</v>
      </c>
      <c r="D851" t="inlineStr">
        <is>
          <t>VÄSTERBOTTENS LÄN</t>
        </is>
      </c>
      <c r="E851" t="inlineStr">
        <is>
          <t>NORSJÖ</t>
        </is>
      </c>
      <c r="F851" t="inlineStr">
        <is>
          <t>Holmen skog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39736-2024</t>
        </is>
      </c>
      <c r="B852" s="1" t="n">
        <v>45552</v>
      </c>
      <c r="C852" s="1" t="n">
        <v>45845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40074-2024</t>
        </is>
      </c>
      <c r="B853" s="1" t="n">
        <v>45554</v>
      </c>
      <c r="C853" s="1" t="n">
        <v>45845</v>
      </c>
      <c r="D853" t="inlineStr">
        <is>
          <t>VÄSTERBOTTENS LÄN</t>
        </is>
      </c>
      <c r="E853" t="inlineStr">
        <is>
          <t>NORSJÖ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40203-2024</t>
        </is>
      </c>
      <c r="B854" s="1" t="n">
        <v>45554</v>
      </c>
      <c r="C854" s="1" t="n">
        <v>45845</v>
      </c>
      <c r="D854" t="inlineStr">
        <is>
          <t>VÄSTERBOTTENS LÄN</t>
        </is>
      </c>
      <c r="E854" t="inlineStr">
        <is>
          <t>NORSJÖ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40293-2024</t>
        </is>
      </c>
      <c r="B855" s="1" t="n">
        <v>45554</v>
      </c>
      <c r="C855" s="1" t="n">
        <v>45845</v>
      </c>
      <c r="D855" t="inlineStr">
        <is>
          <t>VÄSTERBOTTENS LÄN</t>
        </is>
      </c>
      <c r="E855" t="inlineStr">
        <is>
          <t>NORSJÖ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40103-2024</t>
        </is>
      </c>
      <c r="B856" s="1" t="n">
        <v>45554</v>
      </c>
      <c r="C856" s="1" t="n">
        <v>45845</v>
      </c>
      <c r="D856" t="inlineStr">
        <is>
          <t>VÄSTERBOTTENS LÄN</t>
        </is>
      </c>
      <c r="E856" t="inlineStr">
        <is>
          <t>NORSJÖ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40200-2024</t>
        </is>
      </c>
      <c r="B857" s="1" t="n">
        <v>45554</v>
      </c>
      <c r="C857" s="1" t="n">
        <v>45845</v>
      </c>
      <c r="D857" t="inlineStr">
        <is>
          <t>VÄSTERBOTTENS LÄN</t>
        </is>
      </c>
      <c r="E857" t="inlineStr">
        <is>
          <t>NORSJÖ</t>
        </is>
      </c>
      <c r="G857" t="n">
        <v>12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40263-2024</t>
        </is>
      </c>
      <c r="B858" s="1" t="n">
        <v>45554</v>
      </c>
      <c r="C858" s="1" t="n">
        <v>45845</v>
      </c>
      <c r="D858" t="inlineStr">
        <is>
          <t>VÄSTERBOTTENS LÄN</t>
        </is>
      </c>
      <c r="E858" t="inlineStr">
        <is>
          <t>NORSJÖ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40295-2024</t>
        </is>
      </c>
      <c r="B859" s="1" t="n">
        <v>45554</v>
      </c>
      <c r="C859" s="1" t="n">
        <v>45845</v>
      </c>
      <c r="D859" t="inlineStr">
        <is>
          <t>VÄSTERBOTTENS LÄN</t>
        </is>
      </c>
      <c r="E859" t="inlineStr">
        <is>
          <t>NORSJÖ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40846-2024</t>
        </is>
      </c>
      <c r="B860" s="1" t="n">
        <v>45558</v>
      </c>
      <c r="C860" s="1" t="n">
        <v>45845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49.4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41328-2024</t>
        </is>
      </c>
      <c r="B861" s="1" t="n">
        <v>45559</v>
      </c>
      <c r="C861" s="1" t="n">
        <v>45845</v>
      </c>
      <c r="D861" t="inlineStr">
        <is>
          <t>VÄSTERBOTTENS LÄN</t>
        </is>
      </c>
      <c r="E861" t="inlineStr">
        <is>
          <t>NORSJÖ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41325-2024</t>
        </is>
      </c>
      <c r="B862" s="1" t="n">
        <v>45559</v>
      </c>
      <c r="C862" s="1" t="n">
        <v>45845</v>
      </c>
      <c r="D862" t="inlineStr">
        <is>
          <t>VÄSTERBOTTENS LÄN</t>
        </is>
      </c>
      <c r="E862" t="inlineStr">
        <is>
          <t>NORSJÖ</t>
        </is>
      </c>
      <c r="F862" t="inlineStr">
        <is>
          <t>Sveaskog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41323-2024</t>
        </is>
      </c>
      <c r="B863" s="1" t="n">
        <v>45559</v>
      </c>
      <c r="C863" s="1" t="n">
        <v>45845</v>
      </c>
      <c r="D863" t="inlineStr">
        <is>
          <t>VÄSTERBOTTENS LÄN</t>
        </is>
      </c>
      <c r="E863" t="inlineStr">
        <is>
          <t>NORSJÖ</t>
        </is>
      </c>
      <c r="F863" t="inlineStr">
        <is>
          <t>Sveaskog</t>
        </is>
      </c>
      <c r="G863" t="n">
        <v>9.5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41510-2024</t>
        </is>
      </c>
      <c r="B864" s="1" t="n">
        <v>45560</v>
      </c>
      <c r="C864" s="1" t="n">
        <v>45845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41844-2024</t>
        </is>
      </c>
      <c r="B865" s="1" t="n">
        <v>45561</v>
      </c>
      <c r="C865" s="1" t="n">
        <v>45845</v>
      </c>
      <c r="D865" t="inlineStr">
        <is>
          <t>VÄSTERBOTTENS LÄN</t>
        </is>
      </c>
      <c r="E865" t="inlineStr">
        <is>
          <t>NORSJÖ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41965-2024</t>
        </is>
      </c>
      <c r="B866" s="1" t="n">
        <v>45561</v>
      </c>
      <c r="C866" s="1" t="n">
        <v>45845</v>
      </c>
      <c r="D866" t="inlineStr">
        <is>
          <t>VÄSTERBOTTENS LÄN</t>
        </is>
      </c>
      <c r="E866" t="inlineStr">
        <is>
          <t>NORSJÖ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41966-2024</t>
        </is>
      </c>
      <c r="B867" s="1" t="n">
        <v>45561</v>
      </c>
      <c r="C867" s="1" t="n">
        <v>45845</v>
      </c>
      <c r="D867" t="inlineStr">
        <is>
          <t>VÄSTERBOTTENS LÄN</t>
        </is>
      </c>
      <c r="E867" t="inlineStr">
        <is>
          <t>NORSJÖ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41833-2024</t>
        </is>
      </c>
      <c r="B868" s="1" t="n">
        <v>45561</v>
      </c>
      <c r="C868" s="1" t="n">
        <v>45845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42012-2024</t>
        </is>
      </c>
      <c r="B869" s="1" t="n">
        <v>45561</v>
      </c>
      <c r="C869" s="1" t="n">
        <v>45845</v>
      </c>
      <c r="D869" t="inlineStr">
        <is>
          <t>VÄSTERBOTTENS LÄN</t>
        </is>
      </c>
      <c r="E869" t="inlineStr">
        <is>
          <t>NORSJÖ</t>
        </is>
      </c>
      <c r="F869" t="inlineStr">
        <is>
          <t>Sveaskog</t>
        </is>
      </c>
      <c r="G869" t="n">
        <v>20.4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42224-2024</t>
        </is>
      </c>
      <c r="B870" s="1" t="n">
        <v>45562</v>
      </c>
      <c r="C870" s="1" t="n">
        <v>45845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42418-2024</t>
        </is>
      </c>
      <c r="B871" s="1" t="n">
        <v>45565</v>
      </c>
      <c r="C871" s="1" t="n">
        <v>45845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42533-2024</t>
        </is>
      </c>
      <c r="B872" s="1" t="n">
        <v>45565</v>
      </c>
      <c r="C872" s="1" t="n">
        <v>45845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13.4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42437-2024</t>
        </is>
      </c>
      <c r="B873" s="1" t="n">
        <v>45565</v>
      </c>
      <c r="C873" s="1" t="n">
        <v>45845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42458-2024</t>
        </is>
      </c>
      <c r="B874" s="1" t="n">
        <v>45565</v>
      </c>
      <c r="C874" s="1" t="n">
        <v>45845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43592-2024</t>
        </is>
      </c>
      <c r="B875" s="1" t="n">
        <v>45569</v>
      </c>
      <c r="C875" s="1" t="n">
        <v>45845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43651-2024</t>
        </is>
      </c>
      <c r="B876" s="1" t="n">
        <v>45569</v>
      </c>
      <c r="C876" s="1" t="n">
        <v>45845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43777-2024</t>
        </is>
      </c>
      <c r="B877" s="1" t="n">
        <v>45570</v>
      </c>
      <c r="C877" s="1" t="n">
        <v>45845</v>
      </c>
      <c r="D877" t="inlineStr">
        <is>
          <t>VÄSTERBOTTENS LÄN</t>
        </is>
      </c>
      <c r="E877" t="inlineStr">
        <is>
          <t>NORSJÖ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44114-2024</t>
        </is>
      </c>
      <c r="B878" s="1" t="n">
        <v>45572</v>
      </c>
      <c r="C878" s="1" t="n">
        <v>45845</v>
      </c>
      <c r="D878" t="inlineStr">
        <is>
          <t>VÄSTERBOTTENS LÄN</t>
        </is>
      </c>
      <c r="E878" t="inlineStr">
        <is>
          <t>NORSJÖ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44214-2024</t>
        </is>
      </c>
      <c r="B879" s="1" t="n">
        <v>45573</v>
      </c>
      <c r="C879" s="1" t="n">
        <v>45845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44366-2024</t>
        </is>
      </c>
      <c r="B880" s="1" t="n">
        <v>45573</v>
      </c>
      <c r="C880" s="1" t="n">
        <v>45845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44367-2024</t>
        </is>
      </c>
      <c r="B881" s="1" t="n">
        <v>45573</v>
      </c>
      <c r="C881" s="1" t="n">
        <v>45845</v>
      </c>
      <c r="D881" t="inlineStr">
        <is>
          <t>VÄSTERBOTTENS LÄN</t>
        </is>
      </c>
      <c r="E881" t="inlineStr">
        <is>
          <t>NORSJÖ</t>
        </is>
      </c>
      <c r="F881" t="inlineStr">
        <is>
          <t>Kommuner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44771-2024</t>
        </is>
      </c>
      <c r="B882" s="1" t="n">
        <v>45574</v>
      </c>
      <c r="C882" s="1" t="n">
        <v>45845</v>
      </c>
      <c r="D882" t="inlineStr">
        <is>
          <t>VÄSTERBOTTENS LÄN</t>
        </is>
      </c>
      <c r="E882" t="inlineStr">
        <is>
          <t>NORSJÖ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45697-2024</t>
        </is>
      </c>
      <c r="B883" s="1" t="n">
        <v>45579</v>
      </c>
      <c r="C883" s="1" t="n">
        <v>45845</v>
      </c>
      <c r="D883" t="inlineStr">
        <is>
          <t>VÄSTERBOTTENS LÄN</t>
        </is>
      </c>
      <c r="E883" t="inlineStr">
        <is>
          <t>NORSJÖ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45693-2024</t>
        </is>
      </c>
      <c r="B884" s="1" t="n">
        <v>45579</v>
      </c>
      <c r="C884" s="1" t="n">
        <v>45845</v>
      </c>
      <c r="D884" t="inlineStr">
        <is>
          <t>VÄSTERBOTTENS LÄN</t>
        </is>
      </c>
      <c r="E884" t="inlineStr">
        <is>
          <t>NORSJÖ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45858-2024</t>
        </is>
      </c>
      <c r="B885" s="1" t="n">
        <v>45580</v>
      </c>
      <c r="C885" s="1" t="n">
        <v>45845</v>
      </c>
      <c r="D885" t="inlineStr">
        <is>
          <t>VÄSTERBOTTENS LÄN</t>
        </is>
      </c>
      <c r="E885" t="inlineStr">
        <is>
          <t>NORSJÖ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45990-2024</t>
        </is>
      </c>
      <c r="B886" s="1" t="n">
        <v>45580</v>
      </c>
      <c r="C886" s="1" t="n">
        <v>45845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45896-2024</t>
        </is>
      </c>
      <c r="B887" s="1" t="n">
        <v>45580</v>
      </c>
      <c r="C887" s="1" t="n">
        <v>45845</v>
      </c>
      <c r="D887" t="inlineStr">
        <is>
          <t>VÄSTERBOTTENS LÄN</t>
        </is>
      </c>
      <c r="E887" t="inlineStr">
        <is>
          <t>NORSJÖ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45944-2024</t>
        </is>
      </c>
      <c r="B888" s="1" t="n">
        <v>45580</v>
      </c>
      <c r="C888" s="1" t="n">
        <v>45845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46643-2024</t>
        </is>
      </c>
      <c r="B889" s="1" t="n">
        <v>45583</v>
      </c>
      <c r="C889" s="1" t="n">
        <v>45845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46882-2024</t>
        </is>
      </c>
      <c r="B890" s="1" t="n">
        <v>45583</v>
      </c>
      <c r="C890" s="1" t="n">
        <v>45845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14.2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46710-2024</t>
        </is>
      </c>
      <c r="B891" s="1" t="n">
        <v>45583</v>
      </c>
      <c r="C891" s="1" t="n">
        <v>45845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47225-2024</t>
        </is>
      </c>
      <c r="B892" s="1" t="n">
        <v>45586</v>
      </c>
      <c r="C892" s="1" t="n">
        <v>45845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47205-2024</t>
        </is>
      </c>
      <c r="B893" s="1" t="n">
        <v>45586</v>
      </c>
      <c r="C893" s="1" t="n">
        <v>45845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47185-2024</t>
        </is>
      </c>
      <c r="B894" s="1" t="n">
        <v>45586</v>
      </c>
      <c r="C894" s="1" t="n">
        <v>45845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47224-2024</t>
        </is>
      </c>
      <c r="B895" s="1" t="n">
        <v>45586</v>
      </c>
      <c r="C895" s="1" t="n">
        <v>45845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47220-2024</t>
        </is>
      </c>
      <c r="B896" s="1" t="n">
        <v>45586</v>
      </c>
      <c r="C896" s="1" t="n">
        <v>45845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47215-2024</t>
        </is>
      </c>
      <c r="B897" s="1" t="n">
        <v>45586</v>
      </c>
      <c r="C897" s="1" t="n">
        <v>45845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47446-2024</t>
        </is>
      </c>
      <c r="B898" s="1" t="n">
        <v>45587</v>
      </c>
      <c r="C898" s="1" t="n">
        <v>45845</v>
      </c>
      <c r="D898" t="inlineStr">
        <is>
          <t>VÄSTERBOTTENS LÄN</t>
        </is>
      </c>
      <c r="E898" t="inlineStr">
        <is>
          <t>NORSJÖ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47413-2024</t>
        </is>
      </c>
      <c r="B899" s="1" t="n">
        <v>45587</v>
      </c>
      <c r="C899" s="1" t="n">
        <v>45845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47308-2024</t>
        </is>
      </c>
      <c r="B900" s="1" t="n">
        <v>45587</v>
      </c>
      <c r="C900" s="1" t="n">
        <v>45845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47317-2024</t>
        </is>
      </c>
      <c r="B901" s="1" t="n">
        <v>45587</v>
      </c>
      <c r="C901" s="1" t="n">
        <v>45845</v>
      </c>
      <c r="D901" t="inlineStr">
        <is>
          <t>VÄSTERBOTTENS LÄN</t>
        </is>
      </c>
      <c r="E901" t="inlineStr">
        <is>
          <t>NORSJÖ</t>
        </is>
      </c>
      <c r="F901" t="inlineStr">
        <is>
          <t>Sveaskog</t>
        </is>
      </c>
      <c r="G901" t="n">
        <v>13.4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48218-2024</t>
        </is>
      </c>
      <c r="B902" s="1" t="n">
        <v>45590</v>
      </c>
      <c r="C902" s="1" t="n">
        <v>45845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10.4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48954-2024</t>
        </is>
      </c>
      <c r="B903" s="1" t="n">
        <v>45594</v>
      </c>
      <c r="C903" s="1" t="n">
        <v>45845</v>
      </c>
      <c r="D903" t="inlineStr">
        <is>
          <t>VÄSTERBOTTENS LÄN</t>
        </is>
      </c>
      <c r="E903" t="inlineStr">
        <is>
          <t>NORSJÖ</t>
        </is>
      </c>
      <c r="F903" t="inlineStr">
        <is>
          <t>Holmen skog AB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49033-2024</t>
        </is>
      </c>
      <c r="B904" s="1" t="n">
        <v>45594</v>
      </c>
      <c r="C904" s="1" t="n">
        <v>45845</v>
      </c>
      <c r="D904" t="inlineStr">
        <is>
          <t>VÄSTERBOTTENS LÄN</t>
        </is>
      </c>
      <c r="E904" t="inlineStr">
        <is>
          <t>NORSJÖ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49034-2024</t>
        </is>
      </c>
      <c r="B905" s="1" t="n">
        <v>45594</v>
      </c>
      <c r="C905" s="1" t="n">
        <v>45845</v>
      </c>
      <c r="D905" t="inlineStr">
        <is>
          <t>VÄSTERBOTTENS LÄN</t>
        </is>
      </c>
      <c r="E905" t="inlineStr">
        <is>
          <t>NORSJÖ</t>
        </is>
      </c>
      <c r="G905" t="n">
        <v>15.3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49481-2024</t>
        </is>
      </c>
      <c r="B906" s="1" t="n">
        <v>45596</v>
      </c>
      <c r="C906" s="1" t="n">
        <v>45845</v>
      </c>
      <c r="D906" t="inlineStr">
        <is>
          <t>VÄSTERBOTTENS LÄN</t>
        </is>
      </c>
      <c r="E906" t="inlineStr">
        <is>
          <t>NORSJÖ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50075-2024</t>
        </is>
      </c>
      <c r="B907" s="1" t="n">
        <v>45600</v>
      </c>
      <c r="C907" s="1" t="n">
        <v>45845</v>
      </c>
      <c r="D907" t="inlineStr">
        <is>
          <t>VÄSTERBOTTENS LÄN</t>
        </is>
      </c>
      <c r="E907" t="inlineStr">
        <is>
          <t>NORSJÖ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50617-2024</t>
        </is>
      </c>
      <c r="B908" s="1" t="n">
        <v>45601</v>
      </c>
      <c r="C908" s="1" t="n">
        <v>45845</v>
      </c>
      <c r="D908" t="inlineStr">
        <is>
          <t>VÄSTERBOTTENS LÄN</t>
        </is>
      </c>
      <c r="E908" t="inlineStr">
        <is>
          <t>NORSJÖ</t>
        </is>
      </c>
      <c r="G908" t="n">
        <v>10.6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50725-2024</t>
        </is>
      </c>
      <c r="B909" s="1" t="n">
        <v>45602</v>
      </c>
      <c r="C909" s="1" t="n">
        <v>45845</v>
      </c>
      <c r="D909" t="inlineStr">
        <is>
          <t>VÄSTERBOTTENS LÄN</t>
        </is>
      </c>
      <c r="E909" t="inlineStr">
        <is>
          <t>NORSJÖ</t>
        </is>
      </c>
      <c r="G909" t="n">
        <v>13.5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50724-2024</t>
        </is>
      </c>
      <c r="B910" s="1" t="n">
        <v>45602</v>
      </c>
      <c r="C910" s="1" t="n">
        <v>45845</v>
      </c>
      <c r="D910" t="inlineStr">
        <is>
          <t>VÄSTERBOTTENS LÄN</t>
        </is>
      </c>
      <c r="E910" t="inlineStr">
        <is>
          <t>NORSJÖ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51075-2024</t>
        </is>
      </c>
      <c r="B911" s="1" t="n">
        <v>45603</v>
      </c>
      <c r="C911" s="1" t="n">
        <v>45845</v>
      </c>
      <c r="D911" t="inlineStr">
        <is>
          <t>VÄSTERBOTTENS LÄN</t>
        </is>
      </c>
      <c r="E911" t="inlineStr">
        <is>
          <t>NORSJÖ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51352-2024</t>
        </is>
      </c>
      <c r="B912" s="1" t="n">
        <v>45604</v>
      </c>
      <c r="C912" s="1" t="n">
        <v>45845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7.4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51407-2024</t>
        </is>
      </c>
      <c r="B913" s="1" t="n">
        <v>45604</v>
      </c>
      <c r="C913" s="1" t="n">
        <v>45845</v>
      </c>
      <c r="D913" t="inlineStr">
        <is>
          <t>VÄSTERBOTTENS LÄN</t>
        </is>
      </c>
      <c r="E913" t="inlineStr">
        <is>
          <t>NORSJÖ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51548-2024</t>
        </is>
      </c>
      <c r="B914" s="1" t="n">
        <v>45604</v>
      </c>
      <c r="C914" s="1" t="n">
        <v>45845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51401-2024</t>
        </is>
      </c>
      <c r="B915" s="1" t="n">
        <v>45604</v>
      </c>
      <c r="C915" s="1" t="n">
        <v>45845</v>
      </c>
      <c r="D915" t="inlineStr">
        <is>
          <t>VÄSTERBOTTENS LÄN</t>
        </is>
      </c>
      <c r="E915" t="inlineStr">
        <is>
          <t>NORSJÖ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52045-2024</t>
        </is>
      </c>
      <c r="B916" s="1" t="n">
        <v>45604</v>
      </c>
      <c r="C916" s="1" t="n">
        <v>45845</v>
      </c>
      <c r="D916" t="inlineStr">
        <is>
          <t>VÄSTERBOTTENS LÄN</t>
        </is>
      </c>
      <c r="E916" t="inlineStr">
        <is>
          <t>NORSJÖ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51724-2024</t>
        </is>
      </c>
      <c r="B917" s="1" t="n">
        <v>45607</v>
      </c>
      <c r="C917" s="1" t="n">
        <v>45845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52133-2024</t>
        </is>
      </c>
      <c r="B918" s="1" t="n">
        <v>45608</v>
      </c>
      <c r="C918" s="1" t="n">
        <v>45845</v>
      </c>
      <c r="D918" t="inlineStr">
        <is>
          <t>VÄSTERBOTTENS LÄN</t>
        </is>
      </c>
      <c r="E918" t="inlineStr">
        <is>
          <t>NORSJÖ</t>
        </is>
      </c>
      <c r="F918" t="inlineStr">
        <is>
          <t>Sveaskog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52568-2024</t>
        </is>
      </c>
      <c r="B919" s="1" t="n">
        <v>45609</v>
      </c>
      <c r="C919" s="1" t="n">
        <v>45845</v>
      </c>
      <c r="D919" t="inlineStr">
        <is>
          <t>VÄSTERBOTTENS LÄN</t>
        </is>
      </c>
      <c r="E919" t="inlineStr">
        <is>
          <t>NORSJÖ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52888-2024</t>
        </is>
      </c>
      <c r="B920" s="1" t="n">
        <v>45610</v>
      </c>
      <c r="C920" s="1" t="n">
        <v>45845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52822-2024</t>
        </is>
      </c>
      <c r="B921" s="1" t="n">
        <v>45610</v>
      </c>
      <c r="C921" s="1" t="n">
        <v>45845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53107-2024</t>
        </is>
      </c>
      <c r="B922" s="1" t="n">
        <v>45611</v>
      </c>
      <c r="C922" s="1" t="n">
        <v>45845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52998-2024</t>
        </is>
      </c>
      <c r="B923" s="1" t="n">
        <v>45611</v>
      </c>
      <c r="C923" s="1" t="n">
        <v>45845</v>
      </c>
      <c r="D923" t="inlineStr">
        <is>
          <t>VÄSTERBOTTENS LÄN</t>
        </is>
      </c>
      <c r="E923" t="inlineStr">
        <is>
          <t>NORSJÖ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53576-2024</t>
        </is>
      </c>
      <c r="B924" s="1" t="n">
        <v>45614</v>
      </c>
      <c r="C924" s="1" t="n">
        <v>45845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53547-2024</t>
        </is>
      </c>
      <c r="B925" s="1" t="n">
        <v>45614</v>
      </c>
      <c r="C925" s="1" t="n">
        <v>45845</v>
      </c>
      <c r="D925" t="inlineStr">
        <is>
          <t>VÄSTERBOTTENS LÄN</t>
        </is>
      </c>
      <c r="E925" t="inlineStr">
        <is>
          <t>NORSJÖ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53472-2024</t>
        </is>
      </c>
      <c r="B926" s="1" t="n">
        <v>45614</v>
      </c>
      <c r="C926" s="1" t="n">
        <v>45845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53457-2024</t>
        </is>
      </c>
      <c r="B927" s="1" t="n">
        <v>45614</v>
      </c>
      <c r="C927" s="1" t="n">
        <v>45845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53574-2024</t>
        </is>
      </c>
      <c r="B928" s="1" t="n">
        <v>45614</v>
      </c>
      <c r="C928" s="1" t="n">
        <v>45845</v>
      </c>
      <c r="D928" t="inlineStr">
        <is>
          <t>VÄSTERBOTTENS LÄN</t>
        </is>
      </c>
      <c r="E928" t="inlineStr">
        <is>
          <t>NORSJÖ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53442-2024</t>
        </is>
      </c>
      <c r="B929" s="1" t="n">
        <v>45614</v>
      </c>
      <c r="C929" s="1" t="n">
        <v>45845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54044-2024</t>
        </is>
      </c>
      <c r="B930" s="1" t="n">
        <v>45616</v>
      </c>
      <c r="C930" s="1" t="n">
        <v>45845</v>
      </c>
      <c r="D930" t="inlineStr">
        <is>
          <t>VÄSTERBOTTENS LÄN</t>
        </is>
      </c>
      <c r="E930" t="inlineStr">
        <is>
          <t>NORSJÖ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54709-2024</t>
        </is>
      </c>
      <c r="B931" s="1" t="n">
        <v>45617</v>
      </c>
      <c r="C931" s="1" t="n">
        <v>45845</v>
      </c>
      <c r="D931" t="inlineStr">
        <is>
          <t>VÄSTERBOTTENS LÄN</t>
        </is>
      </c>
      <c r="E931" t="inlineStr">
        <is>
          <t>NORSJÖ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54712-2024</t>
        </is>
      </c>
      <c r="B932" s="1" t="n">
        <v>45617</v>
      </c>
      <c r="C932" s="1" t="n">
        <v>45845</v>
      </c>
      <c r="D932" t="inlineStr">
        <is>
          <t>VÄSTERBOTTENS LÄN</t>
        </is>
      </c>
      <c r="E932" t="inlineStr">
        <is>
          <t>NORSJÖ</t>
        </is>
      </c>
      <c r="G932" t="n">
        <v>16.6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55140-2024</t>
        </is>
      </c>
      <c r="B933" s="1" t="n">
        <v>45618</v>
      </c>
      <c r="C933" s="1" t="n">
        <v>45845</v>
      </c>
      <c r="D933" t="inlineStr">
        <is>
          <t>VÄSTERBOTTENS LÄN</t>
        </is>
      </c>
      <c r="E933" t="inlineStr">
        <is>
          <t>NORSJÖ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54902-2024</t>
        </is>
      </c>
      <c r="B934" s="1" t="n">
        <v>45618</v>
      </c>
      <c r="C934" s="1" t="n">
        <v>45845</v>
      </c>
      <c r="D934" t="inlineStr">
        <is>
          <t>VÄSTERBOTTENS LÄN</t>
        </is>
      </c>
      <c r="E934" t="inlineStr">
        <is>
          <t>NORSJÖ</t>
        </is>
      </c>
      <c r="F934" t="inlineStr">
        <is>
          <t>Holmen skog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55150-2024</t>
        </is>
      </c>
      <c r="B935" s="1" t="n">
        <v>45618</v>
      </c>
      <c r="C935" s="1" t="n">
        <v>45845</v>
      </c>
      <c r="D935" t="inlineStr">
        <is>
          <t>VÄSTERBOTTENS LÄN</t>
        </is>
      </c>
      <c r="E935" t="inlineStr">
        <is>
          <t>NORSJÖ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55157-2024</t>
        </is>
      </c>
      <c r="B936" s="1" t="n">
        <v>45618</v>
      </c>
      <c r="C936" s="1" t="n">
        <v>45845</v>
      </c>
      <c r="D936" t="inlineStr">
        <is>
          <t>VÄSTERBOTTENS LÄN</t>
        </is>
      </c>
      <c r="E936" t="inlineStr">
        <is>
          <t>NORSJÖ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55220-2024</t>
        </is>
      </c>
      <c r="B937" s="1" t="n">
        <v>45620</v>
      </c>
      <c r="C937" s="1" t="n">
        <v>45845</v>
      </c>
      <c r="D937" t="inlineStr">
        <is>
          <t>VÄSTERBOTTENS LÄN</t>
        </is>
      </c>
      <c r="E937" t="inlineStr">
        <is>
          <t>NORSJÖ</t>
        </is>
      </c>
      <c r="G937" t="n">
        <v>10.6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55213-2024</t>
        </is>
      </c>
      <c r="B938" s="1" t="n">
        <v>45620</v>
      </c>
      <c r="C938" s="1" t="n">
        <v>45845</v>
      </c>
      <c r="D938" t="inlineStr">
        <is>
          <t>VÄSTERBOTTENS LÄN</t>
        </is>
      </c>
      <c r="E938" t="inlineStr">
        <is>
          <t>NORSJÖ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55264-2024</t>
        </is>
      </c>
      <c r="B939" s="1" t="n">
        <v>45620</v>
      </c>
      <c r="C939" s="1" t="n">
        <v>45845</v>
      </c>
      <c r="D939" t="inlineStr">
        <is>
          <t>VÄSTERBOTTENS LÄN</t>
        </is>
      </c>
      <c r="E939" t="inlineStr">
        <is>
          <t>NORSJÖ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55039-2024</t>
        </is>
      </c>
      <c r="B940" s="1" t="n">
        <v>45621</v>
      </c>
      <c r="C940" s="1" t="n">
        <v>45845</v>
      </c>
      <c r="D940" t="inlineStr">
        <is>
          <t>VÄSTERBOTTENS LÄN</t>
        </is>
      </c>
      <c r="E940" t="inlineStr">
        <is>
          <t>NORSJÖ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55239-2024</t>
        </is>
      </c>
      <c r="B941" s="1" t="n">
        <v>45621</v>
      </c>
      <c r="C941" s="1" t="n">
        <v>45845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55310-2024</t>
        </is>
      </c>
      <c r="B942" s="1" t="n">
        <v>45621</v>
      </c>
      <c r="C942" s="1" t="n">
        <v>45845</v>
      </c>
      <c r="D942" t="inlineStr">
        <is>
          <t>VÄSTERBOTTENS LÄN</t>
        </is>
      </c>
      <c r="E942" t="inlineStr">
        <is>
          <t>NORSJÖ</t>
        </is>
      </c>
      <c r="F942" t="inlineStr">
        <is>
          <t>Sveaskog</t>
        </is>
      </c>
      <c r="G942" t="n">
        <v>12.3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55405-2024</t>
        </is>
      </c>
      <c r="B943" s="1" t="n">
        <v>45621</v>
      </c>
      <c r="C943" s="1" t="n">
        <v>45845</v>
      </c>
      <c r="D943" t="inlineStr">
        <is>
          <t>VÄSTERBOTTENS LÄN</t>
        </is>
      </c>
      <c r="E943" t="inlineStr">
        <is>
          <t>NORSJÖ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55133-2024</t>
        </is>
      </c>
      <c r="B944" s="1" t="n">
        <v>45621</v>
      </c>
      <c r="C944" s="1" t="n">
        <v>45845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55586-2024</t>
        </is>
      </c>
      <c r="B945" s="1" t="n">
        <v>45622</v>
      </c>
      <c r="C945" s="1" t="n">
        <v>45845</v>
      </c>
      <c r="D945" t="inlineStr">
        <is>
          <t>VÄSTERBOTTENS LÄN</t>
        </is>
      </c>
      <c r="E945" t="inlineStr">
        <is>
          <t>NORSJÖ</t>
        </is>
      </c>
      <c r="F945" t="inlineStr">
        <is>
          <t>Holmen skog AB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55821-2024</t>
        </is>
      </c>
      <c r="B946" s="1" t="n">
        <v>45623</v>
      </c>
      <c r="C946" s="1" t="n">
        <v>45845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45845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55936-2024</t>
        </is>
      </c>
      <c r="B948" s="1" t="n">
        <v>45623</v>
      </c>
      <c r="C948" s="1" t="n">
        <v>45845</v>
      </c>
      <c r="D948" t="inlineStr">
        <is>
          <t>VÄSTERBOTTENS LÄN</t>
        </is>
      </c>
      <c r="E948" t="inlineStr">
        <is>
          <t>NORSJÖ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55919-2024</t>
        </is>
      </c>
      <c r="B949" s="1" t="n">
        <v>45623</v>
      </c>
      <c r="C949" s="1" t="n">
        <v>45845</v>
      </c>
      <c r="D949" t="inlineStr">
        <is>
          <t>VÄSTERBOTTENS LÄN</t>
        </is>
      </c>
      <c r="E949" t="inlineStr">
        <is>
          <t>NORSJÖ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55931-2024</t>
        </is>
      </c>
      <c r="B950" s="1" t="n">
        <v>45623</v>
      </c>
      <c r="C950" s="1" t="n">
        <v>45845</v>
      </c>
      <c r="D950" t="inlineStr">
        <is>
          <t>VÄSTERBOTTENS LÄN</t>
        </is>
      </c>
      <c r="E950" t="inlineStr">
        <is>
          <t>NORSJÖ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55929-2024</t>
        </is>
      </c>
      <c r="B951" s="1" t="n">
        <v>45623</v>
      </c>
      <c r="C951" s="1" t="n">
        <v>45845</v>
      </c>
      <c r="D951" t="inlineStr">
        <is>
          <t>VÄSTERBOTTENS LÄN</t>
        </is>
      </c>
      <c r="E951" t="inlineStr">
        <is>
          <t>NORSJÖ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56195-2024</t>
        </is>
      </c>
      <c r="B952" s="1" t="n">
        <v>45623</v>
      </c>
      <c r="C952" s="1" t="n">
        <v>45845</v>
      </c>
      <c r="D952" t="inlineStr">
        <is>
          <t>VÄSTERBOTTENS LÄN</t>
        </is>
      </c>
      <c r="E952" t="inlineStr">
        <is>
          <t>NORSJÖ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56220-2024</t>
        </is>
      </c>
      <c r="B953" s="1" t="n">
        <v>45624</v>
      </c>
      <c r="C953" s="1" t="n">
        <v>45845</v>
      </c>
      <c r="D953" t="inlineStr">
        <is>
          <t>VÄSTERBOTTENS LÄN</t>
        </is>
      </c>
      <c r="E953" t="inlineStr">
        <is>
          <t>NORSJÖ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56233-2024</t>
        </is>
      </c>
      <c r="B954" s="1" t="n">
        <v>45624</v>
      </c>
      <c r="C954" s="1" t="n">
        <v>45845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56488-2024</t>
        </is>
      </c>
      <c r="B955" s="1" t="n">
        <v>45625</v>
      </c>
      <c r="C955" s="1" t="n">
        <v>45845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56498-2024</t>
        </is>
      </c>
      <c r="B956" s="1" t="n">
        <v>45625</v>
      </c>
      <c r="C956" s="1" t="n">
        <v>45845</v>
      </c>
      <c r="D956" t="inlineStr">
        <is>
          <t>VÄSTERBOTTENS LÄN</t>
        </is>
      </c>
      <c r="E956" t="inlineStr">
        <is>
          <t>NORSJÖ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56888-2024</t>
        </is>
      </c>
      <c r="B957" s="1" t="n">
        <v>45628</v>
      </c>
      <c r="C957" s="1" t="n">
        <v>45845</v>
      </c>
      <c r="D957" t="inlineStr">
        <is>
          <t>VÄSTERBOTTENS LÄN</t>
        </is>
      </c>
      <c r="E957" t="inlineStr">
        <is>
          <t>NORSJÖ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57176-2024</t>
        </is>
      </c>
      <c r="B958" s="1" t="n">
        <v>45629</v>
      </c>
      <c r="C958" s="1" t="n">
        <v>45845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57476-2024</t>
        </is>
      </c>
      <c r="B959" s="1" t="n">
        <v>45630</v>
      </c>
      <c r="C959" s="1" t="n">
        <v>45845</v>
      </c>
      <c r="D959" t="inlineStr">
        <is>
          <t>VÄSTERBOTTENS LÄN</t>
        </is>
      </c>
      <c r="E959" t="inlineStr">
        <is>
          <t>NORSJÖ</t>
        </is>
      </c>
      <c r="F959" t="inlineStr">
        <is>
          <t>Holmen skog AB</t>
        </is>
      </c>
      <c r="G959" t="n">
        <v>23.7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57642-2024</t>
        </is>
      </c>
      <c r="B960" s="1" t="n">
        <v>45630</v>
      </c>
      <c r="C960" s="1" t="n">
        <v>45845</v>
      </c>
      <c r="D960" t="inlineStr">
        <is>
          <t>VÄSTERBOTTENS LÄN</t>
        </is>
      </c>
      <c r="E960" t="inlineStr">
        <is>
          <t>NORSJÖ</t>
        </is>
      </c>
      <c r="F960" t="inlineStr">
        <is>
          <t>Sveaskog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57631-2024</t>
        </is>
      </c>
      <c r="B961" s="1" t="n">
        <v>45630</v>
      </c>
      <c r="C961" s="1" t="n">
        <v>45845</v>
      </c>
      <c r="D961" t="inlineStr">
        <is>
          <t>VÄSTERBOTTENS LÄN</t>
        </is>
      </c>
      <c r="E961" t="inlineStr">
        <is>
          <t>NORSJÖ</t>
        </is>
      </c>
      <c r="F961" t="inlineStr">
        <is>
          <t>Sveaskog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58011-2024</t>
        </is>
      </c>
      <c r="B962" s="1" t="n">
        <v>45631</v>
      </c>
      <c r="C962" s="1" t="n">
        <v>45845</v>
      </c>
      <c r="D962" t="inlineStr">
        <is>
          <t>VÄSTERBOTTENS LÄN</t>
        </is>
      </c>
      <c r="E962" t="inlineStr">
        <is>
          <t>NORSJÖ</t>
        </is>
      </c>
      <c r="G962" t="n">
        <v>14.8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58592-2024</t>
        </is>
      </c>
      <c r="B963" s="1" t="n">
        <v>45635</v>
      </c>
      <c r="C963" s="1" t="n">
        <v>45845</v>
      </c>
      <c r="D963" t="inlineStr">
        <is>
          <t>VÄSTERBOTTENS LÄN</t>
        </is>
      </c>
      <c r="E963" t="inlineStr">
        <is>
          <t>NORSJÖ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58801-2024</t>
        </is>
      </c>
      <c r="B964" s="1" t="n">
        <v>45635</v>
      </c>
      <c r="C964" s="1" t="n">
        <v>45845</v>
      </c>
      <c r="D964" t="inlineStr">
        <is>
          <t>VÄSTERBOTTENS LÄN</t>
        </is>
      </c>
      <c r="E964" t="inlineStr">
        <is>
          <t>NORSJÖ</t>
        </is>
      </c>
      <c r="F964" t="inlineStr">
        <is>
          <t>Sveaskog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59133-2024</t>
        </is>
      </c>
      <c r="B965" s="1" t="n">
        <v>45636</v>
      </c>
      <c r="C965" s="1" t="n">
        <v>45845</v>
      </c>
      <c r="D965" t="inlineStr">
        <is>
          <t>VÄSTERBOTTENS LÄN</t>
        </is>
      </c>
      <c r="E965" t="inlineStr">
        <is>
          <t>NORSJÖ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59541-2024</t>
        </is>
      </c>
      <c r="B966" s="1" t="n">
        <v>45638</v>
      </c>
      <c r="C966" s="1" t="n">
        <v>45845</v>
      </c>
      <c r="D966" t="inlineStr">
        <is>
          <t>VÄSTERBOTTENS LÄN</t>
        </is>
      </c>
      <c r="E966" t="inlineStr">
        <is>
          <t>NORSJÖ</t>
        </is>
      </c>
      <c r="G966" t="n">
        <v>16.9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59532-2024</t>
        </is>
      </c>
      <c r="B967" s="1" t="n">
        <v>45638</v>
      </c>
      <c r="C967" s="1" t="n">
        <v>45845</v>
      </c>
      <c r="D967" t="inlineStr">
        <is>
          <t>VÄSTERBOTTENS LÄN</t>
        </is>
      </c>
      <c r="E967" t="inlineStr">
        <is>
          <t>NORSJÖ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60206-2024</t>
        </is>
      </c>
      <c r="B968" s="1" t="n">
        <v>45642</v>
      </c>
      <c r="C968" s="1" t="n">
        <v>45845</v>
      </c>
      <c r="D968" t="inlineStr">
        <is>
          <t>VÄSTERBOTTENS LÄN</t>
        </is>
      </c>
      <c r="E968" t="inlineStr">
        <is>
          <t>NORSJÖ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60663-2024</t>
        </is>
      </c>
      <c r="B969" s="1" t="n">
        <v>45644</v>
      </c>
      <c r="C969" s="1" t="n">
        <v>45845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60782-2024</t>
        </is>
      </c>
      <c r="B970" s="1" t="n">
        <v>45644</v>
      </c>
      <c r="C970" s="1" t="n">
        <v>45845</v>
      </c>
      <c r="D970" t="inlineStr">
        <is>
          <t>VÄSTERBOTTENS LÄN</t>
        </is>
      </c>
      <c r="E970" t="inlineStr">
        <is>
          <t>NORSJÖ</t>
        </is>
      </c>
      <c r="G970" t="n">
        <v>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61025-2024</t>
        </is>
      </c>
      <c r="B971" s="1" t="n">
        <v>45644</v>
      </c>
      <c r="C971" s="1" t="n">
        <v>45845</v>
      </c>
      <c r="D971" t="inlineStr">
        <is>
          <t>VÄSTERBOTTENS LÄN</t>
        </is>
      </c>
      <c r="E971" t="inlineStr">
        <is>
          <t>NORSJÖ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62150-2024</t>
        </is>
      </c>
      <c r="B972" s="1" t="n">
        <v>45646</v>
      </c>
      <c r="C972" s="1" t="n">
        <v>45845</v>
      </c>
      <c r="D972" t="inlineStr">
        <is>
          <t>VÄSTERBOTTENS LÄN</t>
        </is>
      </c>
      <c r="E972" t="inlineStr">
        <is>
          <t>NORSJÖ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62151-2024</t>
        </is>
      </c>
      <c r="B973" s="1" t="n">
        <v>45646</v>
      </c>
      <c r="C973" s="1" t="n">
        <v>45845</v>
      </c>
      <c r="D973" t="inlineStr">
        <is>
          <t>VÄSTERBOTTENS LÄN</t>
        </is>
      </c>
      <c r="E973" t="inlineStr">
        <is>
          <t>NORSJÖ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891-2025</t>
        </is>
      </c>
      <c r="B974" s="1" t="n">
        <v>45665</v>
      </c>
      <c r="C974" s="1" t="n">
        <v>45845</v>
      </c>
      <c r="D974" t="inlineStr">
        <is>
          <t>VÄSTERBOTTENS LÄN</t>
        </is>
      </c>
      <c r="E974" t="inlineStr">
        <is>
          <t>NORSJÖ</t>
        </is>
      </c>
      <c r="F974" t="inlineStr">
        <is>
          <t>Holmen skog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1334-2025</t>
        </is>
      </c>
      <c r="B975" s="1" t="n">
        <v>45667</v>
      </c>
      <c r="C975" s="1" t="n">
        <v>45845</v>
      </c>
      <c r="D975" t="inlineStr">
        <is>
          <t>VÄSTERBOTTENS LÄN</t>
        </is>
      </c>
      <c r="E975" t="inlineStr">
        <is>
          <t>NORSJÖ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1624-2025</t>
        </is>
      </c>
      <c r="B976" s="1" t="n">
        <v>45670</v>
      </c>
      <c r="C976" s="1" t="n">
        <v>45845</v>
      </c>
      <c r="D976" t="inlineStr">
        <is>
          <t>VÄSTERBOTTENS LÄN</t>
        </is>
      </c>
      <c r="E976" t="inlineStr">
        <is>
          <t>NORSJÖ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1562-2025</t>
        </is>
      </c>
      <c r="B977" s="1" t="n">
        <v>45670</v>
      </c>
      <c r="C977" s="1" t="n">
        <v>45845</v>
      </c>
      <c r="D977" t="inlineStr">
        <is>
          <t>VÄSTERBOTTENS LÄN</t>
        </is>
      </c>
      <c r="E977" t="inlineStr">
        <is>
          <t>NORSJÖ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1517-2025</t>
        </is>
      </c>
      <c r="B978" s="1" t="n">
        <v>45670</v>
      </c>
      <c r="C978" s="1" t="n">
        <v>45845</v>
      </c>
      <c r="D978" t="inlineStr">
        <is>
          <t>VÄSTERBOTTENS LÄN</t>
        </is>
      </c>
      <c r="E978" t="inlineStr">
        <is>
          <t>NORSJÖ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1557-2025</t>
        </is>
      </c>
      <c r="B979" s="1" t="n">
        <v>45670</v>
      </c>
      <c r="C979" s="1" t="n">
        <v>45845</v>
      </c>
      <c r="D979" t="inlineStr">
        <is>
          <t>VÄSTERBOTTENS LÄN</t>
        </is>
      </c>
      <c r="E979" t="inlineStr">
        <is>
          <t>NORSJÖ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2119-2025</t>
        </is>
      </c>
      <c r="B980" s="1" t="n">
        <v>45672</v>
      </c>
      <c r="C980" s="1" t="n">
        <v>45845</v>
      </c>
      <c r="D980" t="inlineStr">
        <is>
          <t>VÄSTERBOTTENS LÄN</t>
        </is>
      </c>
      <c r="E980" t="inlineStr">
        <is>
          <t>NORSJÖ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2331-2025</t>
        </is>
      </c>
      <c r="B981" s="1" t="n">
        <v>45673</v>
      </c>
      <c r="C981" s="1" t="n">
        <v>45845</v>
      </c>
      <c r="D981" t="inlineStr">
        <is>
          <t>VÄSTERBOTTENS LÄN</t>
        </is>
      </c>
      <c r="E981" t="inlineStr">
        <is>
          <t>NORSJÖ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2965-2025</t>
        </is>
      </c>
      <c r="B982" s="1" t="n">
        <v>45678</v>
      </c>
      <c r="C982" s="1" t="n">
        <v>45845</v>
      </c>
      <c r="D982" t="inlineStr">
        <is>
          <t>VÄSTERBOTTENS LÄN</t>
        </is>
      </c>
      <c r="E982" t="inlineStr">
        <is>
          <t>NORSJÖ</t>
        </is>
      </c>
      <c r="G982" t="n">
        <v>19.6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2964-2025</t>
        </is>
      </c>
      <c r="B983" s="1" t="n">
        <v>45678</v>
      </c>
      <c r="C983" s="1" t="n">
        <v>45845</v>
      </c>
      <c r="D983" t="inlineStr">
        <is>
          <t>VÄSTERBOTTENS LÄN</t>
        </is>
      </c>
      <c r="E983" t="inlineStr">
        <is>
          <t>NORSJÖ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5497-2025</t>
        </is>
      </c>
      <c r="B984" s="1" t="n">
        <v>45693</v>
      </c>
      <c r="C984" s="1" t="n">
        <v>45845</v>
      </c>
      <c r="D984" t="inlineStr">
        <is>
          <t>VÄSTERBOTTENS LÄN</t>
        </is>
      </c>
      <c r="E984" t="inlineStr">
        <is>
          <t>NORSJÖ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5770-2025</t>
        </is>
      </c>
      <c r="B985" s="1" t="n">
        <v>45694</v>
      </c>
      <c r="C985" s="1" t="n">
        <v>45845</v>
      </c>
      <c r="D985" t="inlineStr">
        <is>
          <t>VÄSTERBOTTENS LÄN</t>
        </is>
      </c>
      <c r="E985" t="inlineStr">
        <is>
          <t>NORSJÖ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5772-2025</t>
        </is>
      </c>
      <c r="B986" s="1" t="n">
        <v>45694</v>
      </c>
      <c r="C986" s="1" t="n">
        <v>45845</v>
      </c>
      <c r="D986" t="inlineStr">
        <is>
          <t>VÄSTERBOTTENS LÄN</t>
        </is>
      </c>
      <c r="E986" t="inlineStr">
        <is>
          <t>NORSJÖ</t>
        </is>
      </c>
      <c r="F986" t="inlineStr">
        <is>
          <t>Holmen skog AB</t>
        </is>
      </c>
      <c r="G986" t="n">
        <v>11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6344-2025</t>
        </is>
      </c>
      <c r="B987" s="1" t="n">
        <v>45699</v>
      </c>
      <c r="C987" s="1" t="n">
        <v>45845</v>
      </c>
      <c r="D987" t="inlineStr">
        <is>
          <t>VÄSTERBOTTENS LÄN</t>
        </is>
      </c>
      <c r="E987" t="inlineStr">
        <is>
          <t>NORSJÖ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6665-2025</t>
        </is>
      </c>
      <c r="B988" s="1" t="n">
        <v>45700</v>
      </c>
      <c r="C988" s="1" t="n">
        <v>45845</v>
      </c>
      <c r="D988" t="inlineStr">
        <is>
          <t>VÄSTERBOTTENS LÄN</t>
        </is>
      </c>
      <c r="E988" t="inlineStr">
        <is>
          <t>NORSJÖ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8159-2025</t>
        </is>
      </c>
      <c r="B989" s="1" t="n">
        <v>45708</v>
      </c>
      <c r="C989" s="1" t="n">
        <v>45845</v>
      </c>
      <c r="D989" t="inlineStr">
        <is>
          <t>VÄSTERBOTTENS LÄN</t>
        </is>
      </c>
      <c r="E989" t="inlineStr">
        <is>
          <t>NORSJÖ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10134-2025</t>
        </is>
      </c>
      <c r="B990" s="1" t="n">
        <v>45719</v>
      </c>
      <c r="C990" s="1" t="n">
        <v>45845</v>
      </c>
      <c r="D990" t="inlineStr">
        <is>
          <t>VÄSTERBOTTENS LÄN</t>
        </is>
      </c>
      <c r="E990" t="inlineStr">
        <is>
          <t>NORSJÖ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10112-2025</t>
        </is>
      </c>
      <c r="B991" s="1" t="n">
        <v>45719</v>
      </c>
      <c r="C991" s="1" t="n">
        <v>45845</v>
      </c>
      <c r="D991" t="inlineStr">
        <is>
          <t>VÄSTERBOTTENS LÄN</t>
        </is>
      </c>
      <c r="E991" t="inlineStr">
        <is>
          <t>NORSJÖ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10320-2025</t>
        </is>
      </c>
      <c r="B992" s="1" t="n">
        <v>45720</v>
      </c>
      <c r="C992" s="1" t="n">
        <v>45845</v>
      </c>
      <c r="D992" t="inlineStr">
        <is>
          <t>VÄSTERBOTTENS LÄN</t>
        </is>
      </c>
      <c r="E992" t="inlineStr">
        <is>
          <t>NORSJÖ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10341-2025</t>
        </is>
      </c>
      <c r="B993" s="1" t="n">
        <v>45720</v>
      </c>
      <c r="C993" s="1" t="n">
        <v>45845</v>
      </c>
      <c r="D993" t="inlineStr">
        <is>
          <t>VÄSTERBOTTENS LÄN</t>
        </is>
      </c>
      <c r="E993" t="inlineStr">
        <is>
          <t>NORSJÖ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10988-2025</t>
        </is>
      </c>
      <c r="B994" s="1" t="n">
        <v>45723</v>
      </c>
      <c r="C994" s="1" t="n">
        <v>45845</v>
      </c>
      <c r="D994" t="inlineStr">
        <is>
          <t>VÄSTERBOTTENS LÄN</t>
        </is>
      </c>
      <c r="E994" t="inlineStr">
        <is>
          <t>NORSJÖ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11747-2025</t>
        </is>
      </c>
      <c r="B995" s="1" t="n">
        <v>45727</v>
      </c>
      <c r="C995" s="1" t="n">
        <v>45845</v>
      </c>
      <c r="D995" t="inlineStr">
        <is>
          <t>VÄSTERBOTTENS LÄN</t>
        </is>
      </c>
      <c r="E995" t="inlineStr">
        <is>
          <t>NORSJÖ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12445-2025</t>
        </is>
      </c>
      <c r="B996" s="1" t="n">
        <v>45730</v>
      </c>
      <c r="C996" s="1" t="n">
        <v>45845</v>
      </c>
      <c r="D996" t="inlineStr">
        <is>
          <t>VÄSTERBOTTENS LÄN</t>
        </is>
      </c>
      <c r="E996" t="inlineStr">
        <is>
          <t>NORSJÖ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12810-2025</t>
        </is>
      </c>
      <c r="B997" s="1" t="n">
        <v>45733</v>
      </c>
      <c r="C997" s="1" t="n">
        <v>45845</v>
      </c>
      <c r="D997" t="inlineStr">
        <is>
          <t>VÄSTERBOTTENS LÄN</t>
        </is>
      </c>
      <c r="E997" t="inlineStr">
        <is>
          <t>NORSJÖ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12944-2025</t>
        </is>
      </c>
      <c r="B998" s="1" t="n">
        <v>45734</v>
      </c>
      <c r="C998" s="1" t="n">
        <v>45845</v>
      </c>
      <c r="D998" t="inlineStr">
        <is>
          <t>VÄSTERBOTTENS LÄN</t>
        </is>
      </c>
      <c r="E998" t="inlineStr">
        <is>
          <t>NORSJÖ</t>
        </is>
      </c>
      <c r="G998" t="n">
        <v>13.7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13628-2025</t>
        </is>
      </c>
      <c r="B999" s="1" t="n">
        <v>45736</v>
      </c>
      <c r="C999" s="1" t="n">
        <v>45845</v>
      </c>
      <c r="D999" t="inlineStr">
        <is>
          <t>VÄSTERBOTTENS LÄN</t>
        </is>
      </c>
      <c r="E999" t="inlineStr">
        <is>
          <t>NORSJÖ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13725-2025</t>
        </is>
      </c>
      <c r="B1000" s="1" t="n">
        <v>45737</v>
      </c>
      <c r="C1000" s="1" t="n">
        <v>45845</v>
      </c>
      <c r="D1000" t="inlineStr">
        <is>
          <t>VÄSTERBOTTENS LÄN</t>
        </is>
      </c>
      <c r="E1000" t="inlineStr">
        <is>
          <t>NORSJÖ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14746-2025</t>
        </is>
      </c>
      <c r="B1001" s="1" t="n">
        <v>45742</v>
      </c>
      <c r="C1001" s="1" t="n">
        <v>45845</v>
      </c>
      <c r="D1001" t="inlineStr">
        <is>
          <t>VÄSTERBOTTENS LÄN</t>
        </is>
      </c>
      <c r="E1001" t="inlineStr">
        <is>
          <t>NORSJÖ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14742-2025</t>
        </is>
      </c>
      <c r="B1002" s="1" t="n">
        <v>45742</v>
      </c>
      <c r="C1002" s="1" t="n">
        <v>45845</v>
      </c>
      <c r="D1002" t="inlineStr">
        <is>
          <t>VÄSTERBOTTENS LÄN</t>
        </is>
      </c>
      <c r="E1002" t="inlineStr">
        <is>
          <t>NORSJÖ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14745-2025</t>
        </is>
      </c>
      <c r="B1003" s="1" t="n">
        <v>45742</v>
      </c>
      <c r="C1003" s="1" t="n">
        <v>45845</v>
      </c>
      <c r="D1003" t="inlineStr">
        <is>
          <t>VÄSTERBOTTENS LÄN</t>
        </is>
      </c>
      <c r="E1003" t="inlineStr">
        <is>
          <t>NORSJÖ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14747-2025</t>
        </is>
      </c>
      <c r="B1004" s="1" t="n">
        <v>45742</v>
      </c>
      <c r="C1004" s="1" t="n">
        <v>45845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14826-2025</t>
        </is>
      </c>
      <c r="B1005" s="1" t="n">
        <v>45743</v>
      </c>
      <c r="C1005" s="1" t="n">
        <v>45845</v>
      </c>
      <c r="D1005" t="inlineStr">
        <is>
          <t>VÄSTERBOTTENS LÄN</t>
        </is>
      </c>
      <c r="E1005" t="inlineStr">
        <is>
          <t>NORSJÖ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14863-2025</t>
        </is>
      </c>
      <c r="B1006" s="1" t="n">
        <v>45743</v>
      </c>
      <c r="C1006" s="1" t="n">
        <v>45845</v>
      </c>
      <c r="D1006" t="inlineStr">
        <is>
          <t>VÄSTERBOTTENS LÄN</t>
        </is>
      </c>
      <c r="E1006" t="inlineStr">
        <is>
          <t>NORSJÖ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14966-2025</t>
        </is>
      </c>
      <c r="B1007" s="1" t="n">
        <v>45743</v>
      </c>
      <c r="C1007" s="1" t="n">
        <v>45845</v>
      </c>
      <c r="D1007" t="inlineStr">
        <is>
          <t>VÄSTERBOTTENS LÄN</t>
        </is>
      </c>
      <c r="E1007" t="inlineStr">
        <is>
          <t>NORSJÖ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14987-2025</t>
        </is>
      </c>
      <c r="B1008" s="1" t="n">
        <v>45743</v>
      </c>
      <c r="C1008" s="1" t="n">
        <v>45845</v>
      </c>
      <c r="D1008" t="inlineStr">
        <is>
          <t>VÄSTERBOTTENS LÄN</t>
        </is>
      </c>
      <c r="E1008" t="inlineStr">
        <is>
          <t>NORSJÖ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14983-2025</t>
        </is>
      </c>
      <c r="B1009" s="1" t="n">
        <v>45743</v>
      </c>
      <c r="C1009" s="1" t="n">
        <v>45845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15807-2025</t>
        </is>
      </c>
      <c r="B1010" s="1" t="n">
        <v>45748</v>
      </c>
      <c r="C1010" s="1" t="n">
        <v>45845</v>
      </c>
      <c r="D1010" t="inlineStr">
        <is>
          <t>VÄSTERBOTTENS LÄN</t>
        </is>
      </c>
      <c r="E1010" t="inlineStr">
        <is>
          <t>NORSJÖ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15806-2025</t>
        </is>
      </c>
      <c r="B1011" s="1" t="n">
        <v>45748</v>
      </c>
      <c r="C1011" s="1" t="n">
        <v>45845</v>
      </c>
      <c r="D1011" t="inlineStr">
        <is>
          <t>VÄSTERBOTTENS LÄN</t>
        </is>
      </c>
      <c r="E1011" t="inlineStr">
        <is>
          <t>NORSJÖ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16036-2025</t>
        </is>
      </c>
      <c r="B1012" s="1" t="n">
        <v>45748</v>
      </c>
      <c r="C1012" s="1" t="n">
        <v>45845</v>
      </c>
      <c r="D1012" t="inlineStr">
        <is>
          <t>VÄSTERBOTTENS LÄN</t>
        </is>
      </c>
      <c r="E1012" t="inlineStr">
        <is>
          <t>NORSJÖ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16030-2025</t>
        </is>
      </c>
      <c r="B1013" s="1" t="n">
        <v>45748</v>
      </c>
      <c r="C1013" s="1" t="n">
        <v>45845</v>
      </c>
      <c r="D1013" t="inlineStr">
        <is>
          <t>VÄSTERBOTTENS LÄN</t>
        </is>
      </c>
      <c r="E1013" t="inlineStr">
        <is>
          <t>NORSJÖ</t>
        </is>
      </c>
      <c r="G1013" t="n">
        <v>13.1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15874-2025</t>
        </is>
      </c>
      <c r="B1014" s="1" t="n">
        <v>45749</v>
      </c>
      <c r="C1014" s="1" t="n">
        <v>45845</v>
      </c>
      <c r="D1014" t="inlineStr">
        <is>
          <t>VÄSTERBOTTENS LÄN</t>
        </is>
      </c>
      <c r="E1014" t="inlineStr">
        <is>
          <t>NORSJÖ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16325-2025</t>
        </is>
      </c>
      <c r="B1015" s="1" t="n">
        <v>45750</v>
      </c>
      <c r="C1015" s="1" t="n">
        <v>45845</v>
      </c>
      <c r="D1015" t="inlineStr">
        <is>
          <t>VÄSTERBOTTENS LÄN</t>
        </is>
      </c>
      <c r="E1015" t="inlineStr">
        <is>
          <t>NORSJÖ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16231-2025</t>
        </is>
      </c>
      <c r="B1016" s="1" t="n">
        <v>45750</v>
      </c>
      <c r="C1016" s="1" t="n">
        <v>45845</v>
      </c>
      <c r="D1016" t="inlineStr">
        <is>
          <t>VÄSTERBOTTENS LÄN</t>
        </is>
      </c>
      <c r="E1016" t="inlineStr">
        <is>
          <t>NORSJÖ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16232-2025</t>
        </is>
      </c>
      <c r="B1017" s="1" t="n">
        <v>45750</v>
      </c>
      <c r="C1017" s="1" t="n">
        <v>45845</v>
      </c>
      <c r="D1017" t="inlineStr">
        <is>
          <t>VÄSTERBOTTENS LÄN</t>
        </is>
      </c>
      <c r="E1017" t="inlineStr">
        <is>
          <t>NORSJÖ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16233-2025</t>
        </is>
      </c>
      <c r="B1018" s="1" t="n">
        <v>45750</v>
      </c>
      <c r="C1018" s="1" t="n">
        <v>45845</v>
      </c>
      <c r="D1018" t="inlineStr">
        <is>
          <t>VÄSTERBOTTENS LÄN</t>
        </is>
      </c>
      <c r="E1018" t="inlineStr">
        <is>
          <t>NORSJÖ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16229-2025</t>
        </is>
      </c>
      <c r="B1019" s="1" t="n">
        <v>45750</v>
      </c>
      <c r="C1019" s="1" t="n">
        <v>45845</v>
      </c>
      <c r="D1019" t="inlineStr">
        <is>
          <t>VÄSTERBOTTENS LÄN</t>
        </is>
      </c>
      <c r="E1019" t="inlineStr">
        <is>
          <t>NORSJÖ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16659-2025</t>
        </is>
      </c>
      <c r="B1020" s="1" t="n">
        <v>45754</v>
      </c>
      <c r="C1020" s="1" t="n">
        <v>45845</v>
      </c>
      <c r="D1020" t="inlineStr">
        <is>
          <t>VÄSTERBOTTENS LÄN</t>
        </is>
      </c>
      <c r="E1020" t="inlineStr">
        <is>
          <t>NORSJÖ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16661-2025</t>
        </is>
      </c>
      <c r="B1021" s="1" t="n">
        <v>45754</v>
      </c>
      <c r="C1021" s="1" t="n">
        <v>45845</v>
      </c>
      <c r="D1021" t="inlineStr">
        <is>
          <t>VÄSTERBOTTENS LÄN</t>
        </is>
      </c>
      <c r="E1021" t="inlineStr">
        <is>
          <t>NORSJÖ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16660-2025</t>
        </is>
      </c>
      <c r="B1022" s="1" t="n">
        <v>45754</v>
      </c>
      <c r="C1022" s="1" t="n">
        <v>45845</v>
      </c>
      <c r="D1022" t="inlineStr">
        <is>
          <t>VÄSTERBOTTENS LÄN</t>
        </is>
      </c>
      <c r="E1022" t="inlineStr">
        <is>
          <t>NORSJÖ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17228-2025</t>
        </is>
      </c>
      <c r="B1023" s="1" t="n">
        <v>45756</v>
      </c>
      <c r="C1023" s="1" t="n">
        <v>45845</v>
      </c>
      <c r="D1023" t="inlineStr">
        <is>
          <t>VÄSTERBOTTENS LÄN</t>
        </is>
      </c>
      <c r="E1023" t="inlineStr">
        <is>
          <t>NORSJÖ</t>
        </is>
      </c>
      <c r="F1023" t="inlineStr">
        <is>
          <t>Holmen skog AB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45845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18667-2025</t>
        </is>
      </c>
      <c r="B1025" s="1" t="n">
        <v>45763</v>
      </c>
      <c r="C1025" s="1" t="n">
        <v>45845</v>
      </c>
      <c r="D1025" t="inlineStr">
        <is>
          <t>VÄSTERBOTTENS LÄN</t>
        </is>
      </c>
      <c r="E1025" t="inlineStr">
        <is>
          <t>NORSJÖ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18668-2025</t>
        </is>
      </c>
      <c r="B1026" s="1" t="n">
        <v>45763</v>
      </c>
      <c r="C1026" s="1" t="n">
        <v>45845</v>
      </c>
      <c r="D1026" t="inlineStr">
        <is>
          <t>VÄSTERBOTTENS LÄN</t>
        </is>
      </c>
      <c r="E1026" t="inlineStr">
        <is>
          <t>NORSJÖ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18670-2025</t>
        </is>
      </c>
      <c r="B1027" s="1" t="n">
        <v>45763</v>
      </c>
      <c r="C1027" s="1" t="n">
        <v>45845</v>
      </c>
      <c r="D1027" t="inlineStr">
        <is>
          <t>VÄSTERBOTTENS LÄN</t>
        </is>
      </c>
      <c r="E1027" t="inlineStr">
        <is>
          <t>NORSJÖ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21906-2025</t>
        </is>
      </c>
      <c r="B1028" s="1" t="n">
        <v>45784</v>
      </c>
      <c r="C1028" s="1" t="n">
        <v>45845</v>
      </c>
      <c r="D1028" t="inlineStr">
        <is>
          <t>VÄSTERBOTTENS LÄN</t>
        </is>
      </c>
      <c r="E1028" t="inlineStr">
        <is>
          <t>NORSJÖ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22551-2025</t>
        </is>
      </c>
      <c r="B1029" s="1" t="n">
        <v>45788</v>
      </c>
      <c r="C1029" s="1" t="n">
        <v>45845</v>
      </c>
      <c r="D1029" t="inlineStr">
        <is>
          <t>VÄSTERBOTTENS LÄN</t>
        </is>
      </c>
      <c r="E1029" t="inlineStr">
        <is>
          <t>NORSJÖ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23523-2025</t>
        </is>
      </c>
      <c r="B1030" s="1" t="n">
        <v>45792</v>
      </c>
      <c r="C1030" s="1" t="n">
        <v>45845</v>
      </c>
      <c r="D1030" t="inlineStr">
        <is>
          <t>VÄSTERBOTTENS LÄN</t>
        </is>
      </c>
      <c r="E1030" t="inlineStr">
        <is>
          <t>NORSJÖ</t>
        </is>
      </c>
      <c r="F1030" t="inlineStr">
        <is>
          <t>Holmen skog AB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24171-2025</t>
        </is>
      </c>
      <c r="B1031" s="1" t="n">
        <v>45796</v>
      </c>
      <c r="C1031" s="1" t="n">
        <v>45845</v>
      </c>
      <c r="D1031" t="inlineStr">
        <is>
          <t>VÄSTERBOTTENS LÄN</t>
        </is>
      </c>
      <c r="E1031" t="inlineStr">
        <is>
          <t>NORSJÖ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23971-2025</t>
        </is>
      </c>
      <c r="B1032" s="1" t="n">
        <v>45796</v>
      </c>
      <c r="C1032" s="1" t="n">
        <v>45845</v>
      </c>
      <c r="D1032" t="inlineStr">
        <is>
          <t>VÄSTERBOTTENS LÄN</t>
        </is>
      </c>
      <c r="E1032" t="inlineStr">
        <is>
          <t>NORSJÖ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24676-2025</t>
        </is>
      </c>
      <c r="B1033" s="1" t="n">
        <v>45798</v>
      </c>
      <c r="C1033" s="1" t="n">
        <v>45845</v>
      </c>
      <c r="D1033" t="inlineStr">
        <is>
          <t>VÄSTERBOTTENS LÄN</t>
        </is>
      </c>
      <c r="E1033" t="inlineStr">
        <is>
          <t>NORSJÖ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24650-2025</t>
        </is>
      </c>
      <c r="B1034" s="1" t="n">
        <v>45798</v>
      </c>
      <c r="C1034" s="1" t="n">
        <v>45845</v>
      </c>
      <c r="D1034" t="inlineStr">
        <is>
          <t>VÄSTERBOTTENS LÄN</t>
        </is>
      </c>
      <c r="E1034" t="inlineStr">
        <is>
          <t>NORSJÖ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24891-2025</t>
        </is>
      </c>
      <c r="B1035" s="1" t="n">
        <v>45799</v>
      </c>
      <c r="C1035" s="1" t="n">
        <v>45845</v>
      </c>
      <c r="D1035" t="inlineStr">
        <is>
          <t>VÄSTERBOTTENS LÄN</t>
        </is>
      </c>
      <c r="E1035" t="inlineStr">
        <is>
          <t>NORSJÖ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24932-2025</t>
        </is>
      </c>
      <c r="B1036" s="1" t="n">
        <v>45799</v>
      </c>
      <c r="C1036" s="1" t="n">
        <v>45845</v>
      </c>
      <c r="D1036" t="inlineStr">
        <is>
          <t>VÄSTERBOTTENS LÄN</t>
        </is>
      </c>
      <c r="E1036" t="inlineStr">
        <is>
          <t>NORSJÖ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24935-2025</t>
        </is>
      </c>
      <c r="B1037" s="1" t="n">
        <v>45799</v>
      </c>
      <c r="C1037" s="1" t="n">
        <v>45845</v>
      </c>
      <c r="D1037" t="inlineStr">
        <is>
          <t>VÄSTERBOTTENS LÄN</t>
        </is>
      </c>
      <c r="E1037" t="inlineStr">
        <is>
          <t>NORSJÖ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24930-2025</t>
        </is>
      </c>
      <c r="B1038" s="1" t="n">
        <v>45799</v>
      </c>
      <c r="C1038" s="1" t="n">
        <v>45845</v>
      </c>
      <c r="D1038" t="inlineStr">
        <is>
          <t>VÄSTERBOTTENS LÄN</t>
        </is>
      </c>
      <c r="E1038" t="inlineStr">
        <is>
          <t>NORSJÖ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25662-2025</t>
        </is>
      </c>
      <c r="B1039" s="1" t="n">
        <v>45803</v>
      </c>
      <c r="C1039" s="1" t="n">
        <v>45845</v>
      </c>
      <c r="D1039" t="inlineStr">
        <is>
          <t>VÄSTERBOTTENS LÄN</t>
        </is>
      </c>
      <c r="E1039" t="inlineStr">
        <is>
          <t>NORSJÖ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25657-2025</t>
        </is>
      </c>
      <c r="B1040" s="1" t="n">
        <v>45803</v>
      </c>
      <c r="C1040" s="1" t="n">
        <v>45845</v>
      </c>
      <c r="D1040" t="inlineStr">
        <is>
          <t>VÄSTERBOTTENS LÄN</t>
        </is>
      </c>
      <c r="E1040" t="inlineStr">
        <is>
          <t>NORSJÖ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27214-2025</t>
        </is>
      </c>
      <c r="B1041" s="1" t="n">
        <v>45812</v>
      </c>
      <c r="C1041" s="1" t="n">
        <v>45845</v>
      </c>
      <c r="D1041" t="inlineStr">
        <is>
          <t>VÄSTERBOTTENS LÄN</t>
        </is>
      </c>
      <c r="E1041" t="inlineStr">
        <is>
          <t>NORSJÖ</t>
        </is>
      </c>
      <c r="F1041" t="inlineStr">
        <is>
          <t>Holmen skog AB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28908-2025</t>
        </is>
      </c>
      <c r="B1042" s="1" t="n">
        <v>45820</v>
      </c>
      <c r="C1042" s="1" t="n">
        <v>45845</v>
      </c>
      <c r="D1042" t="inlineStr">
        <is>
          <t>VÄSTERBOTTENS LÄN</t>
        </is>
      </c>
      <c r="E1042" t="inlineStr">
        <is>
          <t>NORSJÖ</t>
        </is>
      </c>
      <c r="F1042" t="inlineStr">
        <is>
          <t>Holmen skog AB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28822-2025</t>
        </is>
      </c>
      <c r="B1043" s="1" t="n">
        <v>45820</v>
      </c>
      <c r="C1043" s="1" t="n">
        <v>45845</v>
      </c>
      <c r="D1043" t="inlineStr">
        <is>
          <t>VÄSTERBOTTENS LÄN</t>
        </is>
      </c>
      <c r="E1043" t="inlineStr">
        <is>
          <t>NORSJÖ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28808-2025</t>
        </is>
      </c>
      <c r="B1044" s="1" t="n">
        <v>45820</v>
      </c>
      <c r="C1044" s="1" t="n">
        <v>45845</v>
      </c>
      <c r="D1044" t="inlineStr">
        <is>
          <t>VÄSTERBOTTENS LÄN</t>
        </is>
      </c>
      <c r="E1044" t="inlineStr">
        <is>
          <t>NORSJÖ</t>
        </is>
      </c>
      <c r="F1044" t="inlineStr">
        <is>
          <t>Holmen skog AB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28823-2025</t>
        </is>
      </c>
      <c r="B1045" s="1" t="n">
        <v>45820</v>
      </c>
      <c r="C1045" s="1" t="n">
        <v>45845</v>
      </c>
      <c r="D1045" t="inlineStr">
        <is>
          <t>VÄSTERBOTTENS LÄN</t>
        </is>
      </c>
      <c r="E1045" t="inlineStr">
        <is>
          <t>NORSJÖ</t>
        </is>
      </c>
      <c r="G1045" t="n">
        <v>14.1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28999-2025</t>
        </is>
      </c>
      <c r="B1046" s="1" t="n">
        <v>45821</v>
      </c>
      <c r="C1046" s="1" t="n">
        <v>45845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9.800000000000001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29395-2025</t>
        </is>
      </c>
      <c r="B1047" s="1" t="n">
        <v>45824</v>
      </c>
      <c r="C1047" s="1" t="n">
        <v>45845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29347-2025</t>
        </is>
      </c>
      <c r="B1048" s="1" t="n">
        <v>45824</v>
      </c>
      <c r="C1048" s="1" t="n">
        <v>45845</v>
      </c>
      <c r="D1048" t="inlineStr">
        <is>
          <t>VÄSTERBOTTENS LÄN</t>
        </is>
      </c>
      <c r="E1048" t="inlineStr">
        <is>
          <t>NORSJÖ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29475-2025</t>
        </is>
      </c>
      <c r="B1049" s="1" t="n">
        <v>45824</v>
      </c>
      <c r="C1049" s="1" t="n">
        <v>45845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29379-2025</t>
        </is>
      </c>
      <c r="B1050" s="1" t="n">
        <v>45824</v>
      </c>
      <c r="C1050" s="1" t="n">
        <v>45845</v>
      </c>
      <c r="D1050" t="inlineStr">
        <is>
          <t>VÄSTERBOTTENS LÄN</t>
        </is>
      </c>
      <c r="E1050" t="inlineStr">
        <is>
          <t>NORSJÖ</t>
        </is>
      </c>
      <c r="F1050" t="inlineStr">
        <is>
          <t>Holmen skog AB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29524-2025</t>
        </is>
      </c>
      <c r="B1051" s="1" t="n">
        <v>45825</v>
      </c>
      <c r="C1051" s="1" t="n">
        <v>45845</v>
      </c>
      <c r="D1051" t="inlineStr">
        <is>
          <t>VÄSTERBOTTENS LÄN</t>
        </is>
      </c>
      <c r="E1051" t="inlineStr">
        <is>
          <t>NORSJÖ</t>
        </is>
      </c>
      <c r="G1051" t="n">
        <v>11.7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29682-2025</t>
        </is>
      </c>
      <c r="B1052" s="1" t="n">
        <v>45825</v>
      </c>
      <c r="C1052" s="1" t="n">
        <v>45845</v>
      </c>
      <c r="D1052" t="inlineStr">
        <is>
          <t>VÄSTERBOTTENS LÄN</t>
        </is>
      </c>
      <c r="E1052" t="inlineStr">
        <is>
          <t>NORSJÖ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30021-2025</t>
        </is>
      </c>
      <c r="B1053" s="1" t="n">
        <v>45826</v>
      </c>
      <c r="C1053" s="1" t="n">
        <v>45845</v>
      </c>
      <c r="D1053" t="inlineStr">
        <is>
          <t>VÄSTERBOTTENS LÄN</t>
        </is>
      </c>
      <c r="E1053" t="inlineStr">
        <is>
          <t>NORSJÖ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30575-2025</t>
        </is>
      </c>
      <c r="B1054" s="1" t="n">
        <v>45831</v>
      </c>
      <c r="C1054" s="1" t="n">
        <v>45845</v>
      </c>
      <c r="D1054" t="inlineStr">
        <is>
          <t>VÄSTERBOTTENS LÄN</t>
        </is>
      </c>
      <c r="E1054" t="inlineStr">
        <is>
          <t>NORSJÖ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30588-2025</t>
        </is>
      </c>
      <c r="B1055" s="1" t="n">
        <v>45831</v>
      </c>
      <c r="C1055" s="1" t="n">
        <v>45845</v>
      </c>
      <c r="D1055" t="inlineStr">
        <is>
          <t>VÄSTERBOTTENS LÄN</t>
        </is>
      </c>
      <c r="E1055" t="inlineStr">
        <is>
          <t>NORSJÖ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30590-2025</t>
        </is>
      </c>
      <c r="B1056" s="1" t="n">
        <v>45831</v>
      </c>
      <c r="C1056" s="1" t="n">
        <v>45845</v>
      </c>
      <c r="D1056" t="inlineStr">
        <is>
          <t>VÄSTERBOTTENS LÄN</t>
        </is>
      </c>
      <c r="E1056" t="inlineStr">
        <is>
          <t>NORSJÖ</t>
        </is>
      </c>
      <c r="G1056" t="n">
        <v>21.9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30894-2025</t>
        </is>
      </c>
      <c r="B1057" s="1" t="n">
        <v>45832</v>
      </c>
      <c r="C1057" s="1" t="n">
        <v>45845</v>
      </c>
      <c r="D1057" t="inlineStr">
        <is>
          <t>VÄSTERBOTTENS LÄN</t>
        </is>
      </c>
      <c r="E1057" t="inlineStr">
        <is>
          <t>NORSJÖ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31501-2025</t>
        </is>
      </c>
      <c r="B1058" s="1" t="n">
        <v>45833</v>
      </c>
      <c r="C1058" s="1" t="n">
        <v>45845</v>
      </c>
      <c r="D1058" t="inlineStr">
        <is>
          <t>VÄSTERBOTTENS LÄN</t>
        </is>
      </c>
      <c r="E1058" t="inlineStr">
        <is>
          <t>NORSJÖ</t>
        </is>
      </c>
      <c r="G1058" t="n">
        <v>7.8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31583-2025</t>
        </is>
      </c>
      <c r="B1059" s="1" t="n">
        <v>45833</v>
      </c>
      <c r="C1059" s="1" t="n">
        <v>45845</v>
      </c>
      <c r="D1059" t="inlineStr">
        <is>
          <t>VÄSTERBOTTENS LÄN</t>
        </is>
      </c>
      <c r="E1059" t="inlineStr">
        <is>
          <t>NORSJÖ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31512-2025</t>
        </is>
      </c>
      <c r="B1060" s="1" t="n">
        <v>45833</v>
      </c>
      <c r="C1060" s="1" t="n">
        <v>45845</v>
      </c>
      <c r="D1060" t="inlineStr">
        <is>
          <t>VÄSTERBOTTENS LÄN</t>
        </is>
      </c>
      <c r="E1060" t="inlineStr">
        <is>
          <t>NORSJÖ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31759-2025</t>
        </is>
      </c>
      <c r="B1061" s="1" t="n">
        <v>45834</v>
      </c>
      <c r="C1061" s="1" t="n">
        <v>45845</v>
      </c>
      <c r="D1061" t="inlineStr">
        <is>
          <t>VÄSTERBOTTENS LÄN</t>
        </is>
      </c>
      <c r="E1061" t="inlineStr">
        <is>
          <t>NORSJÖ</t>
        </is>
      </c>
      <c r="G1061" t="n">
        <v>18.5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32439-2025</t>
        </is>
      </c>
      <c r="B1062" s="1" t="n">
        <v>45838</v>
      </c>
      <c r="C1062" s="1" t="n">
        <v>45845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32455-2025</t>
        </is>
      </c>
      <c r="B1063" s="1" t="n">
        <v>45838</v>
      </c>
      <c r="C1063" s="1" t="n">
        <v>45845</v>
      </c>
      <c r="D1063" t="inlineStr">
        <is>
          <t>VÄSTERBOTTENS LÄN</t>
        </is>
      </c>
      <c r="E1063" t="inlineStr">
        <is>
          <t>NORSJÖ</t>
        </is>
      </c>
      <c r="F1063" t="inlineStr">
        <is>
          <t>Holmen skog AB</t>
        </is>
      </c>
      <c r="G1063" t="n">
        <v>4.4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33242-2025</t>
        </is>
      </c>
      <c r="B1064" s="1" t="n">
        <v>45840</v>
      </c>
      <c r="C1064" s="1" t="n">
        <v>45845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33167-2025</t>
        </is>
      </c>
      <c r="B1065" s="1" t="n">
        <v>45840</v>
      </c>
      <c r="C1065" s="1" t="n">
        <v>45845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33020-2025</t>
        </is>
      </c>
      <c r="B1066" s="1" t="n">
        <v>45840</v>
      </c>
      <c r="C1066" s="1" t="n">
        <v>45845</v>
      </c>
      <c r="D1066" t="inlineStr">
        <is>
          <t>VÄSTERBOTTENS LÄN</t>
        </is>
      </c>
      <c r="E1066" t="inlineStr">
        <is>
          <t>NORSJÖ</t>
        </is>
      </c>
      <c r="G1066" t="n">
        <v>19.1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33389-2025</t>
        </is>
      </c>
      <c r="B1067" s="1" t="n">
        <v>45841</v>
      </c>
      <c r="C1067" s="1" t="n">
        <v>45845</v>
      </c>
      <c r="D1067" t="inlineStr">
        <is>
          <t>VÄSTERBOTTENS LÄN</t>
        </is>
      </c>
      <c r="E1067" t="inlineStr">
        <is>
          <t>NORSJÖ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33615-2025</t>
        </is>
      </c>
      <c r="B1068" s="1" t="n">
        <v>45841</v>
      </c>
      <c r="C1068" s="1" t="n">
        <v>45845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33894-2025</t>
        </is>
      </c>
      <c r="B1069" s="1" t="n">
        <v>45842</v>
      </c>
      <c r="C1069" s="1" t="n">
        <v>45845</v>
      </c>
      <c r="D1069" t="inlineStr">
        <is>
          <t>VÄSTERBOTTENS LÄN</t>
        </is>
      </c>
      <c r="E1069" t="inlineStr">
        <is>
          <t>NORSJÖ</t>
        </is>
      </c>
      <c r="F1069" t="inlineStr">
        <is>
          <t>Holmen skog AB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33943-2025</t>
        </is>
      </c>
      <c r="B1070" s="1" t="n">
        <v>45842</v>
      </c>
      <c r="C1070" s="1" t="n">
        <v>45845</v>
      </c>
      <c r="D1070" t="inlineStr">
        <is>
          <t>VÄSTERBOTTENS LÄN</t>
        </is>
      </c>
      <c r="E1070" t="inlineStr">
        <is>
          <t>NORSJÖ</t>
        </is>
      </c>
      <c r="F1070" t="inlineStr">
        <is>
          <t>Holmen skog AB</t>
        </is>
      </c>
      <c r="G1070" t="n">
        <v>12.3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33893-2025</t>
        </is>
      </c>
      <c r="B1071" s="1" t="n">
        <v>45842</v>
      </c>
      <c r="C1071" s="1" t="n">
        <v>45845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13.2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33901-2025</t>
        </is>
      </c>
      <c r="B1072" s="1" t="n">
        <v>45842</v>
      </c>
      <c r="C1072" s="1" t="n">
        <v>45845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Sveaskog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33787-2025</t>
        </is>
      </c>
      <c r="B1073" s="1" t="n">
        <v>45842</v>
      </c>
      <c r="C1073" s="1" t="n">
        <v>45845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>
      <c r="A1074" t="inlineStr">
        <is>
          <t>A 33920-2025</t>
        </is>
      </c>
      <c r="B1074" s="1" t="n">
        <v>45842</v>
      </c>
      <c r="C1074" s="1" t="n">
        <v>45845</v>
      </c>
      <c r="D1074" t="inlineStr">
        <is>
          <t>VÄSTERBOTTENS LÄN</t>
        </is>
      </c>
      <c r="E1074" t="inlineStr">
        <is>
          <t>NORSJÖ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2025-07-07T19:36:29Z</dcterms:created>
  <dcterms:modified xmlns:dcterms="http://purl.org/dc/terms/" xmlns:xsi="http://www.w3.org/2001/XMLSchema-instance" xsi:type="dcterms:W3CDTF">2025-07-07T19:36:30Z</dcterms:modified>
</cp:coreProperties>
</file>